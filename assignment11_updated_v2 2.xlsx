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defaultThemeVersion="123820"/>
  <mc:AlternateContent xmlns:mc="http://schemas.openxmlformats.org/markup-compatibility/2006">
    <mc:Choice Requires="x15">
      <x15ac:absPath xmlns:x15ac="http://schemas.microsoft.com/office/spreadsheetml/2010/11/ac" url="https://rutgersconnect-my.sharepoint.com/personal/ec1439_scarletmail_rutgers_edu/Documents/"/>
    </mc:Choice>
  </mc:AlternateContent>
  <xr:revisionPtr revIDLastSave="0" documentId="8_{1195C9AA-165C-4EEB-AFC6-71BA6436B3AB}" xr6:coauthVersionLast="47" xr6:coauthVersionMax="47" xr10:uidLastSave="{00000000-0000-0000-0000-000000000000}"/>
  <bookViews>
    <workbookView xWindow="-108" yWindow="-108" windowWidth="23256" windowHeight="13896" firstSheet="2" xr2:uid="{00000000-000D-0000-FFFF-FFFF00000000}"/>
  </bookViews>
  <sheets>
    <sheet name="PastryPivot" sheetId="4" r:id="rId1"/>
    <sheet name="ec1439 PastrySales" sheetId="1" r:id="rId2"/>
    <sheet name="PivotPlants" sheetId="3" r:id="rId3"/>
    <sheet name="ec1439 Orders" sheetId="2" r:id="rId4"/>
  </sheets>
  <calcPr calcId="191028"/>
  <pivotCaches>
    <pivotCache cacheId="1686" r:id="rId5"/>
    <pivotCache cacheId="1687"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R307" i="2"/>
  <c r="S307" i="2"/>
</calcChain>
</file>

<file path=xl/sharedStrings.xml><?xml version="1.0" encoding="utf-8"?>
<sst xmlns="http://schemas.openxmlformats.org/spreadsheetml/2006/main" count="4684" uniqueCount="868">
  <si>
    <t>March</t>
  </si>
  <si>
    <t>Texas</t>
  </si>
  <si>
    <t>Sum of Sales $</t>
  </si>
  <si>
    <t>Column Labels</t>
  </si>
  <si>
    <t>Suggested Field: Store Location -This could be added to break down pastry sales by individual store location within each state. This would help management identify which specific locations have the most sales and which stores may need re-evaluation.</t>
  </si>
  <si>
    <t>Row Labels</t>
  </si>
  <si>
    <t>Florida</t>
  </si>
  <si>
    <t>Nevada</t>
  </si>
  <si>
    <t>Grand Total</t>
  </si>
  <si>
    <t>January</t>
  </si>
  <si>
    <t>February</t>
  </si>
  <si>
    <t>April</t>
  </si>
  <si>
    <t>May</t>
  </si>
  <si>
    <t>June</t>
  </si>
  <si>
    <t>July</t>
  </si>
  <si>
    <t>August</t>
  </si>
  <si>
    <t>September</t>
  </si>
  <si>
    <t>Month</t>
  </si>
  <si>
    <t>Product</t>
  </si>
  <si>
    <t>State</t>
  </si>
  <si>
    <t>Sales $</t>
  </si>
  <si>
    <t>name</t>
  </si>
  <si>
    <t>section</t>
  </si>
  <si>
    <t>honor code</t>
  </si>
  <si>
    <t>Butter Croissant</t>
  </si>
  <si>
    <t>Emily Czyzycki</t>
  </si>
  <si>
    <t>"On my honor, I have neither recieved nor given any authorized assistance on this assignment."</t>
  </si>
  <si>
    <t>Blueberry Muffin</t>
  </si>
  <si>
    <t>Cinnamon Roll</t>
  </si>
  <si>
    <t>Chocolate Eclair</t>
  </si>
  <si>
    <t>Apple Turnover</t>
  </si>
  <si>
    <t>Cheese Danish</t>
  </si>
  <si>
    <t>Lakeville</t>
  </si>
  <si>
    <t>Suggested field:  Age Group  - This could be used to identify which age group purchases the most indoor plants. This would help determine marketing decisions and strategies.</t>
  </si>
  <si>
    <t>Sub-Category</t>
  </si>
  <si>
    <t>Indoor Plants</t>
  </si>
  <si>
    <t>Sum of Quantity</t>
  </si>
  <si>
    <t>Sum of Sales</t>
  </si>
  <si>
    <t>Sum of Net Profit</t>
  </si>
  <si>
    <t>Aurora</t>
  </si>
  <si>
    <t>Brentwood</t>
  </si>
  <si>
    <t>Carlsbad</t>
  </si>
  <si>
    <t>Charlotte</t>
  </si>
  <si>
    <t>Chicago</t>
  </si>
  <si>
    <t>Cincinnati</t>
  </si>
  <si>
    <t>Colorado Springs</t>
  </si>
  <si>
    <t>Columbia</t>
  </si>
  <si>
    <t>Columbus</t>
  </si>
  <si>
    <t>Concord</t>
  </si>
  <si>
    <t>Dallas</t>
  </si>
  <si>
    <t>Decatur</t>
  </si>
  <si>
    <t>Dover</t>
  </si>
  <si>
    <t>Dublin</t>
  </si>
  <si>
    <t>Edmond</t>
  </si>
  <si>
    <t>Fort Lauderdale</t>
  </si>
  <si>
    <t>Fort Worth</t>
  </si>
  <si>
    <t>Franklin</t>
  </si>
  <si>
    <t>Gilbert</t>
  </si>
  <si>
    <t>Grand Prairie</t>
  </si>
  <si>
    <t>Hamilton</t>
  </si>
  <si>
    <t>Henderson</t>
  </si>
  <si>
    <t>Houston</t>
  </si>
  <si>
    <t>Independence</t>
  </si>
  <si>
    <t>Los Angeles</t>
  </si>
  <si>
    <t>Medina</t>
  </si>
  <si>
    <t>Melbourne</t>
  </si>
  <si>
    <t>Memphis</t>
  </si>
  <si>
    <t>Monroe</t>
  </si>
  <si>
    <t>New Albany</t>
  </si>
  <si>
    <t>New York City</t>
  </si>
  <si>
    <t>Orem</t>
  </si>
  <si>
    <t>Philadelphia</t>
  </si>
  <si>
    <t>Phoenix</t>
  </si>
  <si>
    <t>Portland</t>
  </si>
  <si>
    <t>Richardson</t>
  </si>
  <si>
    <t>Rochester</t>
  </si>
  <si>
    <t>Roseville</t>
  </si>
  <si>
    <t>Saginaw</t>
  </si>
  <si>
    <t>San Antonio</t>
  </si>
  <si>
    <t>San Francisco</t>
  </si>
  <si>
    <t>Scottsdale</t>
  </si>
  <si>
    <t>Seattle</t>
  </si>
  <si>
    <t>Tampa</t>
  </si>
  <si>
    <t>Troy</t>
  </si>
  <si>
    <t>Urbandale</t>
  </si>
  <si>
    <t>Wilmington</t>
  </si>
  <si>
    <t>(blank)</t>
  </si>
  <si>
    <t>Row ID</t>
  </si>
  <si>
    <t>Order ID</t>
  </si>
  <si>
    <t>Order Date</t>
  </si>
  <si>
    <t>Ship Date</t>
  </si>
  <si>
    <t>Ship Mode</t>
  </si>
  <si>
    <t>Customer ID</t>
  </si>
  <si>
    <t>Customer Name</t>
  </si>
  <si>
    <t>Segment</t>
  </si>
  <si>
    <t>Country</t>
  </si>
  <si>
    <t>City</t>
  </si>
  <si>
    <t>Postal Code</t>
  </si>
  <si>
    <t>Region</t>
  </si>
  <si>
    <t>Product ID</t>
  </si>
  <si>
    <t>Category</t>
  </si>
  <si>
    <t>Product Name</t>
  </si>
  <si>
    <t>Sales</t>
  </si>
  <si>
    <t>Quantity</t>
  </si>
  <si>
    <t>Discount</t>
  </si>
  <si>
    <t>Net Profit</t>
  </si>
  <si>
    <t>Discount $ Value</t>
  </si>
  <si>
    <t>Profit Margin</t>
  </si>
  <si>
    <t>CA-2016-152156</t>
  </si>
  <si>
    <t>Second Class</t>
  </si>
  <si>
    <t>CG-12520</t>
  </si>
  <si>
    <t>Claire Gute</t>
  </si>
  <si>
    <t>Consumer</t>
  </si>
  <si>
    <t>United States</t>
  </si>
  <si>
    <t>Kentucky</t>
  </si>
  <si>
    <t>South</t>
  </si>
  <si>
    <t>FUR-BO-10001798</t>
  </si>
  <si>
    <t>Plants</t>
  </si>
  <si>
    <t>Snake Plant</t>
  </si>
  <si>
    <t>FUR-CH-10000454</t>
  </si>
  <si>
    <t>Flowering Plants</t>
  </si>
  <si>
    <t>Peace Lily</t>
  </si>
  <si>
    <t>CA-2016-138688</t>
  </si>
  <si>
    <t>DV-13045</t>
  </si>
  <si>
    <t>Darrin Van Huff</t>
  </si>
  <si>
    <t>Corporate</t>
  </si>
  <si>
    <t>California</t>
  </si>
  <si>
    <t>West</t>
  </si>
  <si>
    <t>OFF-LA-10000240</t>
  </si>
  <si>
    <t>Succulents</t>
  </si>
  <si>
    <t>Aloe Vera</t>
  </si>
  <si>
    <t>US-2015-108966</t>
  </si>
  <si>
    <t>Standard Class</t>
  </si>
  <si>
    <t>SO-20335</t>
  </si>
  <si>
    <t>Sean O'Donnell</t>
  </si>
  <si>
    <t>FUR-TA-10000577</t>
  </si>
  <si>
    <t>Spider Plant</t>
  </si>
  <si>
    <t>OFF-ST-10000760</t>
  </si>
  <si>
    <t>Vining Plants</t>
  </si>
  <si>
    <t>Pothos</t>
  </si>
  <si>
    <t>CA-2014-115812</t>
  </si>
  <si>
    <t>BH-11710</t>
  </si>
  <si>
    <t>Brosina Hoffman</t>
  </si>
  <si>
    <t>FUR-FU-10001487</t>
  </si>
  <si>
    <t>Tropical Plants</t>
  </si>
  <si>
    <t>Monstera</t>
  </si>
  <si>
    <t>OFF-AR-10002833</t>
  </si>
  <si>
    <t>ZZ Plant</t>
  </si>
  <si>
    <t>TEC-PH-10002275</t>
  </si>
  <si>
    <t>Rubber Plant</t>
  </si>
  <si>
    <t>OFF-BI-10003910</t>
  </si>
  <si>
    <t>Jade Plant</t>
  </si>
  <si>
    <t>OFF-AP-10002892</t>
  </si>
  <si>
    <t>Tree Plants</t>
  </si>
  <si>
    <t>Fiddle Leaf Fig</t>
  </si>
  <si>
    <t>FUR-TA-10001539</t>
  </si>
  <si>
    <t>Areca Palm</t>
  </si>
  <si>
    <t>TEC-PH-10002033</t>
  </si>
  <si>
    <t>Fern Plants</t>
  </si>
  <si>
    <t>Boston Fern</t>
  </si>
  <si>
    <t>CA-2017-114412</t>
  </si>
  <si>
    <t>AA-10480</t>
  </si>
  <si>
    <t>Andrew Allen</t>
  </si>
  <si>
    <t>North Carolina</t>
  </si>
  <si>
    <t>OFF-PA-10002365</t>
  </si>
  <si>
    <t>CA-2016-161389</t>
  </si>
  <si>
    <t>IM-15070</t>
  </si>
  <si>
    <t>Irene Maddox</t>
  </si>
  <si>
    <t>Washington</t>
  </si>
  <si>
    <t>OFF-BI-10003656</t>
  </si>
  <si>
    <t>US-2015-118983</t>
  </si>
  <si>
    <t>HP-14815</t>
  </si>
  <si>
    <t>Harold Pawlan</t>
  </si>
  <si>
    <t>Home Office</t>
  </si>
  <si>
    <t>Central</t>
  </si>
  <si>
    <t>OFF-AP-10002311</t>
  </si>
  <si>
    <t>OFF-BI-10000756</t>
  </si>
  <si>
    <t>CA-2014-105893</t>
  </si>
  <si>
    <t>PK-19075</t>
  </si>
  <si>
    <t>Pete Kriz</t>
  </si>
  <si>
    <t>Madison</t>
  </si>
  <si>
    <t>Wisconsin</t>
  </si>
  <si>
    <t>OFF-ST-10004186</t>
  </si>
  <si>
    <t>CA-2014-167164</t>
  </si>
  <si>
    <t>AG-10270</t>
  </si>
  <si>
    <t>Alejandro Grove</t>
  </si>
  <si>
    <t>West Jordan</t>
  </si>
  <si>
    <t>Utah</t>
  </si>
  <si>
    <t>OFF-ST-10000107</t>
  </si>
  <si>
    <t>CA-2014-143336</t>
  </si>
  <si>
    <t>ZD-21925</t>
  </si>
  <si>
    <t>Zuschuss Donatelli</t>
  </si>
  <si>
    <t>OFF-AR-10003056</t>
  </si>
  <si>
    <t>TEC-PH-10001949</t>
  </si>
  <si>
    <t>OFF-BI-10002215</t>
  </si>
  <si>
    <t>CA-2016-137330</t>
  </si>
  <si>
    <t>KB-16585</t>
  </si>
  <si>
    <t>Ken Black</t>
  </si>
  <si>
    <t>Fremont</t>
  </si>
  <si>
    <t>Nebraska</t>
  </si>
  <si>
    <t>OFF-AR-10000246</t>
  </si>
  <si>
    <t>OFF-AP-10001492</t>
  </si>
  <si>
    <t>US-2017-156909</t>
  </si>
  <si>
    <t>SF-20065</t>
  </si>
  <si>
    <t>Sandra Flanagan</t>
  </si>
  <si>
    <t>Pennsylvania</t>
  </si>
  <si>
    <t>East</t>
  </si>
  <si>
    <t>FUR-CH-10002774</t>
  </si>
  <si>
    <t>CA-2015-106320</t>
  </si>
  <si>
    <t>EB-13870</t>
  </si>
  <si>
    <t>Emily Burns</t>
  </si>
  <si>
    <t>CA-2016-121755</t>
  </si>
  <si>
    <t>EH-13945</t>
  </si>
  <si>
    <t>Eric Hoffmann</t>
  </si>
  <si>
    <t>OFF-BI-10001634</t>
  </si>
  <si>
    <t>TEC-AC-10003027</t>
  </si>
  <si>
    <t>US-2015-150630</t>
  </si>
  <si>
    <t>TB-21520</t>
  </si>
  <si>
    <t>Tracy Blumstein</t>
  </si>
  <si>
    <t>FUR-BO-10004834</t>
  </si>
  <si>
    <t>OFF-BI-10000474</t>
  </si>
  <si>
    <t>FUR-FU-10004848</t>
  </si>
  <si>
    <t>OFF-EN-10001509</t>
  </si>
  <si>
    <t>OFF-AR-10004042</t>
  </si>
  <si>
    <t>OFF-BI-10001525</t>
  </si>
  <si>
    <t>OFF-AR-10001683</t>
  </si>
  <si>
    <t>CA-2017-107727</t>
  </si>
  <si>
    <t>MA-17560</t>
  </si>
  <si>
    <t>Matt Abelman</t>
  </si>
  <si>
    <t>OFF-PA-10000249</t>
  </si>
  <si>
    <t>CA-2016-117590</t>
  </si>
  <si>
    <t>First Class</t>
  </si>
  <si>
    <t>GH-14485</t>
  </si>
  <si>
    <t>Gene Hale</t>
  </si>
  <si>
    <t>TEC-PH-10004977</t>
  </si>
  <si>
    <t>FUR-FU-10003664</t>
  </si>
  <si>
    <t>CA-2015-117415</t>
  </si>
  <si>
    <t>SN-20710</t>
  </si>
  <si>
    <t>Steve Nguyen</t>
  </si>
  <si>
    <t>OFF-EN-10002986</t>
  </si>
  <si>
    <t>FUR-BO-10002545</t>
  </si>
  <si>
    <t>FUR-CH-10004218</t>
  </si>
  <si>
    <t>TEC-PH-10000486</t>
  </si>
  <si>
    <t>CA-2017-120999</t>
  </si>
  <si>
    <t>LC-16930</t>
  </si>
  <si>
    <t>Linda Cazamias</t>
  </si>
  <si>
    <t>Naperville</t>
  </si>
  <si>
    <t>Illinois</t>
  </si>
  <si>
    <t>TEC-PH-10004093</t>
  </si>
  <si>
    <t>CA-2016-101343</t>
  </si>
  <si>
    <t>RA-19885</t>
  </si>
  <si>
    <t>Ruben Ausman</t>
  </si>
  <si>
    <t>OFF-ST-10003479</t>
  </si>
  <si>
    <t>CA-2017-139619</t>
  </si>
  <si>
    <t>ES-14080</t>
  </si>
  <si>
    <t>Erin Smith</t>
  </si>
  <si>
    <t>OFF-ST-10003282</t>
  </si>
  <si>
    <t>CA-2016-118255</t>
  </si>
  <si>
    <t>ON-18715</t>
  </si>
  <si>
    <t>Odella Nelson</t>
  </si>
  <si>
    <t>Eagan</t>
  </si>
  <si>
    <t>Minnesota</t>
  </si>
  <si>
    <t>TEC-AC-10000171</t>
  </si>
  <si>
    <t>OFF-BI-10003291</t>
  </si>
  <si>
    <t>CA-2014-146703</t>
  </si>
  <si>
    <t>PO-18865</t>
  </si>
  <si>
    <t>Patrick O'Donnell</t>
  </si>
  <si>
    <t>Westland</t>
  </si>
  <si>
    <t>Michigan</t>
  </si>
  <si>
    <t>OFF-ST-10001713</t>
  </si>
  <si>
    <t>CA-2016-169194</t>
  </si>
  <si>
    <t>LH-16900</t>
  </si>
  <si>
    <t>Lena Hernandez</t>
  </si>
  <si>
    <t>Delaware</t>
  </si>
  <si>
    <t>TEC-AC-10002167</t>
  </si>
  <si>
    <t>TEC-PH-10003988</t>
  </si>
  <si>
    <t>CA-2015-115742</t>
  </si>
  <si>
    <t>DP-13000</t>
  </si>
  <si>
    <t>Darren Powers</t>
  </si>
  <si>
    <t>Indiana</t>
  </si>
  <si>
    <t>OFF-BI-10004410</t>
  </si>
  <si>
    <t>OFF-LA-10002762</t>
  </si>
  <si>
    <t>FUR-FU-10001706</t>
  </si>
  <si>
    <t>FUR-CH-10003061</t>
  </si>
  <si>
    <t>CA-2016-105816</t>
  </si>
  <si>
    <t>JM-15265</t>
  </si>
  <si>
    <t>Janet Molinari</t>
  </si>
  <si>
    <t>New York</t>
  </si>
  <si>
    <t>OFF-FA-10000304</t>
  </si>
  <si>
    <t>TEC-PH-10002447</t>
  </si>
  <si>
    <t>CA-2016-111682</t>
  </si>
  <si>
    <t>TB-21055</t>
  </si>
  <si>
    <t>Ted Butterfield</t>
  </si>
  <si>
    <t>OFF-ST-10000604</t>
  </si>
  <si>
    <t>OFF-PA-10001569</t>
  </si>
  <si>
    <t>FUR-CH-10003968</t>
  </si>
  <si>
    <t>OFF-PA-10000587</t>
  </si>
  <si>
    <t>OFF-BI-10001460</t>
  </si>
  <si>
    <t>OFF-AR-10001868</t>
  </si>
  <si>
    <t>CA-2015-135545</t>
  </si>
  <si>
    <t>KM-16720</t>
  </si>
  <si>
    <t>Kunst Miller</t>
  </si>
  <si>
    <t>TEC-AC-10004633</t>
  </si>
  <si>
    <t>OFF-BI-10001078</t>
  </si>
  <si>
    <t>OFF-PA-10003892</t>
  </si>
  <si>
    <t>FUR-FU-10000397</t>
  </si>
  <si>
    <t>US-2015-164175</t>
  </si>
  <si>
    <t>PS-18970</t>
  </si>
  <si>
    <t>Paul Stevenson</t>
  </si>
  <si>
    <t>FUR-CH-10001146</t>
  </si>
  <si>
    <t>CA-2014-106376</t>
  </si>
  <si>
    <t>BS-11590</t>
  </si>
  <si>
    <t>Brendan Sweed</t>
  </si>
  <si>
    <t>Arizona</t>
  </si>
  <si>
    <t>OFF-AR-10002671</t>
  </si>
  <si>
    <t>TEC-PH-10002726</t>
  </si>
  <si>
    <t>CA-2016-119823</t>
  </si>
  <si>
    <t>KD-16270</t>
  </si>
  <si>
    <t>Karen Daniels</t>
  </si>
  <si>
    <t>Springfield</t>
  </si>
  <si>
    <t>Virginia</t>
  </si>
  <si>
    <t>OFF-PA-10000482</t>
  </si>
  <si>
    <t>CA-2016-106075</t>
  </si>
  <si>
    <t>HM-14980</t>
  </si>
  <si>
    <t>Henry MacAllister</t>
  </si>
  <si>
    <t>OFF-BI-10004654</t>
  </si>
  <si>
    <t>CA-2017-114440</t>
  </si>
  <si>
    <t>Jackson</t>
  </si>
  <si>
    <t>OFF-PA-10004675</t>
  </si>
  <si>
    <t>US-2015-134026</t>
  </si>
  <si>
    <t>JE-15745</t>
  </si>
  <si>
    <t>Joel Eaton</t>
  </si>
  <si>
    <t>Tennessee</t>
  </si>
  <si>
    <t>FUR-CH-10000513</t>
  </si>
  <si>
    <t>FUR-FU-10003708</t>
  </si>
  <si>
    <t>OFF-ST-10004123</t>
  </si>
  <si>
    <t>US-2017-118038</t>
  </si>
  <si>
    <t>KB-16600</t>
  </si>
  <si>
    <t>Ken Brennan</t>
  </si>
  <si>
    <t>OFF-BI-10004182</t>
  </si>
  <si>
    <t>FUR-FU-10000260</t>
  </si>
  <si>
    <t>OFF-ST-10000615</t>
  </si>
  <si>
    <t>US-2014-147606</t>
  </si>
  <si>
    <t>FUR-FU-10003194</t>
  </si>
  <si>
    <t>CA-2016-127208</t>
  </si>
  <si>
    <t>SC-20770</t>
  </si>
  <si>
    <t>Stewart Carmichael</t>
  </si>
  <si>
    <t>Alabama</t>
  </si>
  <si>
    <t>OFF-AP-10002118</t>
  </si>
  <si>
    <t>OFF-BI-10002309</t>
  </si>
  <si>
    <t>CA-2014-139451</t>
  </si>
  <si>
    <t>DN-13690</t>
  </si>
  <si>
    <t>Duane Noonan</t>
  </si>
  <si>
    <t>OFF-AR-10002053</t>
  </si>
  <si>
    <t>OFF-ST-10002370</t>
  </si>
  <si>
    <t>CA-2015-149734</t>
  </si>
  <si>
    <t>JC-16105</t>
  </si>
  <si>
    <t>Julie Creighton</t>
  </si>
  <si>
    <t>Durham</t>
  </si>
  <si>
    <t>OFF-EN-10000927</t>
  </si>
  <si>
    <t>US-2017-119662</t>
  </si>
  <si>
    <t>CS-12400</t>
  </si>
  <si>
    <t>Christopher Schild</t>
  </si>
  <si>
    <t>OFF-ST-10003656</t>
  </si>
  <si>
    <t>CA-2017-140088</t>
  </si>
  <si>
    <t>South Carolina</t>
  </si>
  <si>
    <t>FUR-CH-10000863</t>
  </si>
  <si>
    <t>CA-2017-155558</t>
  </si>
  <si>
    <t>PG-18895</t>
  </si>
  <si>
    <t>Paul Gonzalez</t>
  </si>
  <si>
    <t>TEC-AC-10001998</t>
  </si>
  <si>
    <t>OFF-LA-10000134</t>
  </si>
  <si>
    <t>CA-2016-159695</t>
  </si>
  <si>
    <t>GM-14455</t>
  </si>
  <si>
    <t>Gary Mitchum</t>
  </si>
  <si>
    <t>OFF-ST-10003442</t>
  </si>
  <si>
    <t>CA-2016-109806</t>
  </si>
  <si>
    <t>JS-15685</t>
  </si>
  <si>
    <t>Jim Sink</t>
  </si>
  <si>
    <t>OFF-AR-10004930</t>
  </si>
  <si>
    <t>OFF-PA-10000304</t>
  </si>
  <si>
    <t>CA-2015-149587</t>
  </si>
  <si>
    <t>KB-16315</t>
  </si>
  <si>
    <t>Karl Braun</t>
  </si>
  <si>
    <t>Minneapolis</t>
  </si>
  <si>
    <t>OFF-PA-10003177</t>
  </si>
  <si>
    <t>FUR-FU-10003799</t>
  </si>
  <si>
    <t>OFF-BI-10002852</t>
  </si>
  <si>
    <t>US-2017-109484</t>
  </si>
  <si>
    <t>RB-19705</t>
  </si>
  <si>
    <t>Roger Barcio</t>
  </si>
  <si>
    <t>Oregon</t>
  </si>
  <si>
    <t>OFF-BI-10004738</t>
  </si>
  <si>
    <t>CA-2017-161018</t>
  </si>
  <si>
    <t>PN-18775</t>
  </si>
  <si>
    <t>Parhena Norris</t>
  </si>
  <si>
    <t>FUR-FU-10000629</t>
  </si>
  <si>
    <t>CA-2017-157833</t>
  </si>
  <si>
    <t>KD-16345</t>
  </si>
  <si>
    <t>Katherine Ducich</t>
  </si>
  <si>
    <t>OFF-BI-10001721</t>
  </si>
  <si>
    <t>CA-2016-149223</t>
  </si>
  <si>
    <t>ER-13855</t>
  </si>
  <si>
    <t>Elpida Rittenbach</t>
  </si>
  <si>
    <t>Saint Paul</t>
  </si>
  <si>
    <t>OFF-AP-10000358</t>
  </si>
  <si>
    <t>CA-2016-158568</t>
  </si>
  <si>
    <t>RB-19465</t>
  </si>
  <si>
    <t>Rick Bensley</t>
  </si>
  <si>
    <t>OFF-PA-10003256</t>
  </si>
  <si>
    <t>TEC-AC-10001767</t>
  </si>
  <si>
    <t>OFF-BI-10002609</t>
  </si>
  <si>
    <t>CA-2016-129903</t>
  </si>
  <si>
    <t>GZ-14470</t>
  </si>
  <si>
    <t>Gary Zandusky</t>
  </si>
  <si>
    <t>OFF-PA-10004040</t>
  </si>
  <si>
    <t>US-2015-156867</t>
  </si>
  <si>
    <t>LC-16870</t>
  </si>
  <si>
    <t>Lena Cacioppo</t>
  </si>
  <si>
    <t>Colorado</t>
  </si>
  <si>
    <t>TEC-AC-10001552</t>
  </si>
  <si>
    <t>FUR-FU-10004006</t>
  </si>
  <si>
    <t>OFF-BI-10002794</t>
  </si>
  <si>
    <t>CA-2017-119004</t>
  </si>
  <si>
    <t>JM-15250</t>
  </si>
  <si>
    <t>Janet Martin</t>
  </si>
  <si>
    <t>TEC-AC-10003499</t>
  </si>
  <si>
    <t>TEC-PH-10002844</t>
  </si>
  <si>
    <t>OFF-AR-10000390</t>
  </si>
  <si>
    <t>CA-2015-129476</t>
  </si>
  <si>
    <t>PA-19060</t>
  </si>
  <si>
    <t>Pete Armstrong</t>
  </si>
  <si>
    <t>Orland Park</t>
  </si>
  <si>
    <t>TEC-AC-10000844</t>
  </si>
  <si>
    <t>CA-2017-146780</t>
  </si>
  <si>
    <t>CV-12805</t>
  </si>
  <si>
    <t>Cynthia Voltz</t>
  </si>
  <si>
    <t>FUR-FU-10001934</t>
  </si>
  <si>
    <t>CA-2016-128867</t>
  </si>
  <si>
    <t>CL-12565</t>
  </si>
  <si>
    <t>Clay Ludtke</t>
  </si>
  <si>
    <t>Iowa</t>
  </si>
  <si>
    <t>OFF-AR-10000380</t>
  </si>
  <si>
    <t>OFF-BI-10003981</t>
  </si>
  <si>
    <t>CA-2014-115259</t>
  </si>
  <si>
    <t>RC-19960</t>
  </si>
  <si>
    <t>Ryan Crowe</t>
  </si>
  <si>
    <t>Ohio</t>
  </si>
  <si>
    <t>OFF-FA-10000621</t>
  </si>
  <si>
    <t>OFF-EN-10002600</t>
  </si>
  <si>
    <t>OFF-PA-10004965</t>
  </si>
  <si>
    <t>OFF-EN-10002504</t>
  </si>
  <si>
    <t>CA-2015-110457</t>
  </si>
  <si>
    <t>DK-13090</t>
  </si>
  <si>
    <t>Dave Kipp</t>
  </si>
  <si>
    <t>FUR-TA-10001768</t>
  </si>
  <si>
    <t>US-2015-136476</t>
  </si>
  <si>
    <t>GG-14650</t>
  </si>
  <si>
    <t>Greg Guthrie</t>
  </si>
  <si>
    <t>Bristol</t>
  </si>
  <si>
    <t>OFF-BI-10003650</t>
  </si>
  <si>
    <t>CA-2016-103730</t>
  </si>
  <si>
    <t>SC-20725</t>
  </si>
  <si>
    <t>Steven Cartwright</t>
  </si>
  <si>
    <t>FUR-FU-10002157</t>
  </si>
  <si>
    <t>OFF-ST-10000777</t>
  </si>
  <si>
    <t>OFF-EN-10002500</t>
  </si>
  <si>
    <t>TEC-PH-10003875</t>
  </si>
  <si>
    <t>US-2014-152030</t>
  </si>
  <si>
    <t>AD-10180</t>
  </si>
  <si>
    <t>Alan Dominguez</t>
  </si>
  <si>
    <t>FUR-CH-10004063</t>
  </si>
  <si>
    <t>US-2014-134614</t>
  </si>
  <si>
    <t>PF-19165</t>
  </si>
  <si>
    <t>Philip Fox</t>
  </si>
  <si>
    <t>Bloomington</t>
  </si>
  <si>
    <t>FUR-TA-10004534</t>
  </si>
  <si>
    <t>US-2017-107272</t>
  </si>
  <si>
    <t>TS-21610</t>
  </si>
  <si>
    <t>Troy Staebel</t>
  </si>
  <si>
    <t>OFF-BI-10003274</t>
  </si>
  <si>
    <t>OFF-ST-10002974</t>
  </si>
  <si>
    <t>US-2016-125969</t>
  </si>
  <si>
    <t>LS-16975</t>
  </si>
  <si>
    <t>Lindsay Shagiari</t>
  </si>
  <si>
    <t>FUR-FU-10003773</t>
  </si>
  <si>
    <t>US-2017-164147</t>
  </si>
  <si>
    <t>DW-13585</t>
  </si>
  <si>
    <t>Dorothy Wardle</t>
  </si>
  <si>
    <t>TEC-PH-10002293</t>
  </si>
  <si>
    <t>OFF-PA-10002377</t>
  </si>
  <si>
    <t>OFF-FA-10002780</t>
  </si>
  <si>
    <t>CA-2016-145583</t>
  </si>
  <si>
    <t>LC-16885</t>
  </si>
  <si>
    <t>Lena Creighton</t>
  </si>
  <si>
    <t>OFF-PA-10001804</t>
  </si>
  <si>
    <t>OFF-PA-10001736</t>
  </si>
  <si>
    <t>OFF-AR-10001149</t>
  </si>
  <si>
    <t>OFF-FA-10002988</t>
  </si>
  <si>
    <t>OFF-BI-10004781</t>
  </si>
  <si>
    <t>OFF-SU-10001218</t>
  </si>
  <si>
    <t>CA-2016-110366</t>
  </si>
  <si>
    <t>JD-15895</t>
  </si>
  <si>
    <t>Jonathan Doherty</t>
  </si>
  <si>
    <t>CA-2017-106180</t>
  </si>
  <si>
    <t>SH-19975</t>
  </si>
  <si>
    <t>Sally Hughsby</t>
  </si>
  <si>
    <t>OFF-AR-10000940</t>
  </si>
  <si>
    <t>OFF-EN-10004030</t>
  </si>
  <si>
    <t>OFF-PA-10004327</t>
  </si>
  <si>
    <t>CA-2017-155376</t>
  </si>
  <si>
    <t>SG-20080</t>
  </si>
  <si>
    <t>Sandra Glassco</t>
  </si>
  <si>
    <t>Missouri</t>
  </si>
  <si>
    <t>OFF-AP-10001058</t>
  </si>
  <si>
    <t>CA-2015-110744</t>
  </si>
  <si>
    <t>HA-14920</t>
  </si>
  <si>
    <t>Helen Andreada</t>
  </si>
  <si>
    <t>Pasadena</t>
  </si>
  <si>
    <t>CA-2014-110072</t>
  </si>
  <si>
    <t>MG-17680</t>
  </si>
  <si>
    <t>Maureen Gastineau</t>
  </si>
  <si>
    <t>Newark</t>
  </si>
  <si>
    <t>FUR-FU-10000521</t>
  </si>
  <si>
    <t>CA-2016-114489</t>
  </si>
  <si>
    <t>JE-16165</t>
  </si>
  <si>
    <t>Justin Ellison</t>
  </si>
  <si>
    <t>TEC-PH-10000215</t>
  </si>
  <si>
    <t>TEC-PH-10001448</t>
  </si>
  <si>
    <t>OFF-BI-10002735</t>
  </si>
  <si>
    <t>CA-2016-158834</t>
  </si>
  <si>
    <t>TW-21025</t>
  </si>
  <si>
    <t>Tamara Willingham</t>
  </si>
  <si>
    <t>OFF-AP-10000326</t>
  </si>
  <si>
    <t>TEC-PH-10001254</t>
  </si>
  <si>
    <t>CA-2015-124919</t>
  </si>
  <si>
    <t>SP-20650</t>
  </si>
  <si>
    <t>Stephanie Phelps</t>
  </si>
  <si>
    <t>San Jose</t>
  </si>
  <si>
    <t>OFF-PA-10001950</t>
  </si>
  <si>
    <t>OFF-PA-10002254</t>
  </si>
  <si>
    <t>OFF-ST-10001590</t>
  </si>
  <si>
    <t>CA-2015-118948</t>
  </si>
  <si>
    <t>NK-18490</t>
  </si>
  <si>
    <t>Neil Knudson</t>
  </si>
  <si>
    <t>OFF-AR-10001547</t>
  </si>
  <si>
    <t>CA-2014-104269</t>
  </si>
  <si>
    <t>DB-13060</t>
  </si>
  <si>
    <t>Dave Brooks</t>
  </si>
  <si>
    <t>CA-2016-114104</t>
  </si>
  <si>
    <t>NP-18670</t>
  </si>
  <si>
    <t>Nora Paige</t>
  </si>
  <si>
    <t>Oklahoma</t>
  </si>
  <si>
    <t>OFF-LA-10002475</t>
  </si>
  <si>
    <t>TEC-PH-10004536</t>
  </si>
  <si>
    <t>CA-2016-162733</t>
  </si>
  <si>
    <t>TT-21070</t>
  </si>
  <si>
    <t>Ted Trevino</t>
  </si>
  <si>
    <t>OFF-PA-10002751</t>
  </si>
  <si>
    <t>CA-2015-119697</t>
  </si>
  <si>
    <t>EM-13960</t>
  </si>
  <si>
    <t>Eric Murdock</t>
  </si>
  <si>
    <t>TEC-AC-10003657</t>
  </si>
  <si>
    <t>CA-2016-154508</t>
  </si>
  <si>
    <t>RD-19900</t>
  </si>
  <si>
    <t>Ruben Dartt</t>
  </si>
  <si>
    <t>New Mexico</t>
  </si>
  <si>
    <t>OFF-EN-10001990</t>
  </si>
  <si>
    <t>CA-2016-113817</t>
  </si>
  <si>
    <t>MJ-17740</t>
  </si>
  <si>
    <t>Max Jones</t>
  </si>
  <si>
    <t>OFF-BI-10004002</t>
  </si>
  <si>
    <t>CA-2014-139892</t>
  </si>
  <si>
    <t>BM-11140</t>
  </si>
  <si>
    <t>Becky Martin</t>
  </si>
  <si>
    <t>OFF-AR-10004441</t>
  </si>
  <si>
    <t>TEC-MA-10000822</t>
  </si>
  <si>
    <t>OFF-ST-10000991</t>
  </si>
  <si>
    <t>FUR-CH-10004287</t>
  </si>
  <si>
    <t>OFF-AR-10002656</t>
  </si>
  <si>
    <t>OFF-AP-10002518</t>
  </si>
  <si>
    <t>TEC-PH-10003931</t>
  </si>
  <si>
    <t>CA-2014-118962</t>
  </si>
  <si>
    <t>CS-12130</t>
  </si>
  <si>
    <t>Chad Sievert</t>
  </si>
  <si>
    <t>OFF-PA-10000659</t>
  </si>
  <si>
    <t>OFF-PA-10001144</t>
  </si>
  <si>
    <t>FUR-CH-10003817</t>
  </si>
  <si>
    <t>US-2014-100853</t>
  </si>
  <si>
    <t>JB-15400</t>
  </si>
  <si>
    <t>Jennifer Braxton</t>
  </si>
  <si>
    <t>OFF-AP-10000891</t>
  </si>
  <si>
    <t>OFF-LA-10003148</t>
  </si>
  <si>
    <t>US-2017-152366</t>
  </si>
  <si>
    <t>SJ-20500</t>
  </si>
  <si>
    <t>Shirley Jackson</t>
  </si>
  <si>
    <t>OFF-AP-10002684</t>
  </si>
  <si>
    <t>US-2015-101511</t>
  </si>
  <si>
    <t>FUR-CH-10004698</t>
  </si>
  <si>
    <t>OFF-SU-10002189</t>
  </si>
  <si>
    <t>CA-2015-137225</t>
  </si>
  <si>
    <t>JK-15640</t>
  </si>
  <si>
    <t>Jim Kriz</t>
  </si>
  <si>
    <t>OFF-AR-10001940</t>
  </si>
  <si>
    <t>CA-2014-166191</t>
  </si>
  <si>
    <t>DK-13150</t>
  </si>
  <si>
    <t>David Kendrick</t>
  </si>
  <si>
    <t>OFF-ST-10003455</t>
  </si>
  <si>
    <t>TEC-AC-10004659</t>
  </si>
  <si>
    <t>CA-2014-158274</t>
  </si>
  <si>
    <t>RM-19675</t>
  </si>
  <si>
    <t>Robert Marley</t>
  </si>
  <si>
    <t>Louisiana</t>
  </si>
  <si>
    <t>TEC-PH-10003273</t>
  </si>
  <si>
    <t>TEC-PH-10004896</t>
  </si>
  <si>
    <t>TEC-AC-10002345</t>
  </si>
  <si>
    <t>CA-2016-105018</t>
  </si>
  <si>
    <t>SK-19990</t>
  </si>
  <si>
    <t>Sally Knutson</t>
  </si>
  <si>
    <t>Fairfield</t>
  </si>
  <si>
    <t>Connecticut</t>
  </si>
  <si>
    <t>OFF-BI-10001890</t>
  </si>
  <si>
    <t>CA-2014-123260</t>
  </si>
  <si>
    <t>FM-14290</t>
  </si>
  <si>
    <t>Frank Merwin</t>
  </si>
  <si>
    <t>TEC-AC-10002323</t>
  </si>
  <si>
    <t>CA-2016-157000</t>
  </si>
  <si>
    <t>AM-10360</t>
  </si>
  <si>
    <t>Alice McCarthy</t>
  </si>
  <si>
    <t>OFF-ST-10001328</t>
  </si>
  <si>
    <t>CA-2015-102281</t>
  </si>
  <si>
    <t>MP-17470</t>
  </si>
  <si>
    <t>Mark Packer</t>
  </si>
  <si>
    <t>FUR-BO-10002613</t>
  </si>
  <si>
    <t>TEC-PH-10001552</t>
  </si>
  <si>
    <t>OFF-PA-10000061</t>
  </si>
  <si>
    <t>OFF-AR-10003514</t>
  </si>
  <si>
    <t>CA-2015-131457</t>
  </si>
  <si>
    <t>MZ-17515</t>
  </si>
  <si>
    <t>Mary Zewe</t>
  </si>
  <si>
    <t>Redlands</t>
  </si>
  <si>
    <t>CA-2014-140004</t>
  </si>
  <si>
    <t>CB-12025</t>
  </si>
  <si>
    <t>Cassandra Brandow</t>
  </si>
  <si>
    <t>OFF-AR-10004685</t>
  </si>
  <si>
    <t>OFF-AR-10004027</t>
  </si>
  <si>
    <t>CA-2017-107720</t>
  </si>
  <si>
    <t>VM-21685</t>
  </si>
  <si>
    <t>Valerie Mitchum</t>
  </si>
  <si>
    <t>Westfield</t>
  </si>
  <si>
    <t>New Jersey</t>
  </si>
  <si>
    <t>OFF-ST-10001414</t>
  </si>
  <si>
    <t>US-2017-124303</t>
  </si>
  <si>
    <t>FH-14365</t>
  </si>
  <si>
    <t>Fred Hopkins</t>
  </si>
  <si>
    <t>OFF-BI-10000343</t>
  </si>
  <si>
    <t>OFF-PA-10002749</t>
  </si>
  <si>
    <t>CA-2017-105074</t>
  </si>
  <si>
    <t>MB-17305</t>
  </si>
  <si>
    <t>Maria Bertelson</t>
  </si>
  <si>
    <t>Akron</t>
  </si>
  <si>
    <t>OFF-PA-10002666</t>
  </si>
  <si>
    <t>CA-2014-133690</t>
  </si>
  <si>
    <t>BS-11755</t>
  </si>
  <si>
    <t>Bruce Stewart</t>
  </si>
  <si>
    <t>Denver</t>
  </si>
  <si>
    <t>FUR-TA-10004289</t>
  </si>
  <si>
    <t>OFF-AP-10003622</t>
  </si>
  <si>
    <t>US-2017-116701</t>
  </si>
  <si>
    <t>LC-17140</t>
  </si>
  <si>
    <t>Logan Currie</t>
  </si>
  <si>
    <t>OFF-AP-10003217</t>
  </si>
  <si>
    <t>CA-2017-126382</t>
  </si>
  <si>
    <t>HK-14890</t>
  </si>
  <si>
    <t>Heather Kirkland</t>
  </si>
  <si>
    <t>FUR-FU-10002960</t>
  </si>
  <si>
    <t>CA-2017-108329</t>
  </si>
  <si>
    <t>LE-16810</t>
  </si>
  <si>
    <t>Laurel Elliston</t>
  </si>
  <si>
    <t>Whittier</t>
  </si>
  <si>
    <t>TEC-PH-10001918</t>
  </si>
  <si>
    <t>CA-2017-135860</t>
  </si>
  <si>
    <t>JH-15985</t>
  </si>
  <si>
    <t>Joseph Holt</t>
  </si>
  <si>
    <t>OFF-ST-10000642</t>
  </si>
  <si>
    <t>TEC-PH-10001700</t>
  </si>
  <si>
    <t>OFF-FA-10000134</t>
  </si>
  <si>
    <t>OFF-ST-10001522</t>
  </si>
  <si>
    <t>CA-2015-101007</t>
  </si>
  <si>
    <t>MS-17980</t>
  </si>
  <si>
    <t>Michael Stewart</t>
  </si>
  <si>
    <t>TEC-AC-10001266</t>
  </si>
  <si>
    <t>CA-2015-146262</t>
  </si>
  <si>
    <t>VW-21775</t>
  </si>
  <si>
    <t>Victoria Wilson</t>
  </si>
  <si>
    <t>OFF-LA-10004544</t>
  </si>
  <si>
    <t>FUR-BO-10004695</t>
  </si>
  <si>
    <t>TEC-MA-10000864</t>
  </si>
  <si>
    <t>TEC-AC-10000109</t>
  </si>
  <si>
    <t>CA-2016-130162</t>
  </si>
  <si>
    <t>JH-15910</t>
  </si>
  <si>
    <t>Jonathan Howell</t>
  </si>
  <si>
    <t>TEC-PH-10002563</t>
  </si>
  <si>
    <t>CA-2015-169397</t>
  </si>
  <si>
    <t>JB-15925</t>
  </si>
  <si>
    <t>Joni Blumstein</t>
  </si>
  <si>
    <t>OFF-FA-10000585</t>
  </si>
  <si>
    <t>OFF-PA-10004000</t>
  </si>
  <si>
    <t>FUR-FU-10000087</t>
  </si>
  <si>
    <t>TEC-MA-10001148</t>
  </si>
  <si>
    <t>OFF-AR-10001958</t>
  </si>
  <si>
    <t>CA-2015-163055</t>
  </si>
  <si>
    <t>DS-13180</t>
  </si>
  <si>
    <t>David Smith</t>
  </si>
  <si>
    <t>Detroit</t>
  </si>
  <si>
    <t>OFF-AR-10001026</t>
  </si>
  <si>
    <t>FUR-TA-10003748</t>
  </si>
  <si>
    <t>OFF-ST-10002485</t>
  </si>
  <si>
    <t>US-2015-145436</t>
  </si>
  <si>
    <t>VD-21670</t>
  </si>
  <si>
    <t>Valerie Dominguez</t>
  </si>
  <si>
    <t>FUR-CH-10004860</t>
  </si>
  <si>
    <t>FUR-CH-10004477</t>
  </si>
  <si>
    <t>US-2014-156216</t>
  </si>
  <si>
    <t>EA-14035</t>
  </si>
  <si>
    <t>Erin Ashbrook</t>
  </si>
  <si>
    <t>OFF-BI-10001679</t>
  </si>
  <si>
    <t>US-2017-100930</t>
  </si>
  <si>
    <t>FUR-TA-10001705</t>
  </si>
  <si>
    <t>FUR-TA-10003473</t>
  </si>
  <si>
    <t>FUR-FU-10004017</t>
  </si>
  <si>
    <t>TEC-AC-10003832</t>
  </si>
  <si>
    <t>CA-2017-160514</t>
  </si>
  <si>
    <t>DB-13120</t>
  </si>
  <si>
    <t>David Bremer</t>
  </si>
  <si>
    <t>Santa Clara</t>
  </si>
  <si>
    <t>OFF-PA-10002479</t>
  </si>
  <si>
    <t>CA-2016-157749</t>
  </si>
  <si>
    <t>KL-16645</t>
  </si>
  <si>
    <t>Ken Lonsdale</t>
  </si>
  <si>
    <t>OFF-PA-10003349</t>
  </si>
  <si>
    <t>FUR-FU-10000576</t>
  </si>
  <si>
    <t>FUR-FU-10004351</t>
  </si>
  <si>
    <t>TEC-PH-10000011</t>
  </si>
  <si>
    <t>FUR-TA-10002607</t>
  </si>
  <si>
    <t>FUR-FU-10002505</t>
  </si>
  <si>
    <t>CA-2014-131926</t>
  </si>
  <si>
    <t>DW-13480</t>
  </si>
  <si>
    <t>Dianna Wilson</t>
  </si>
  <si>
    <t>OFF-ST-10002276</t>
  </si>
  <si>
    <t>OFF-PA-10004082</t>
  </si>
  <si>
    <t>OFF-AP-10002945</t>
  </si>
  <si>
    <t>CA-2016-154739</t>
  </si>
  <si>
    <t>LH-17155</t>
  </si>
  <si>
    <t>Logan Haushalter</t>
  </si>
  <si>
    <t>FUR-CH-10002965</t>
  </si>
  <si>
    <t>CA-2016-145625</t>
  </si>
  <si>
    <t>KC-16540</t>
  </si>
  <si>
    <t>Kelly Collister</t>
  </si>
  <si>
    <t>San Diego</t>
  </si>
  <si>
    <t>OFF-PA-10004569</t>
  </si>
  <si>
    <t>CA-2016-146941</t>
  </si>
  <si>
    <t>DL-13315</t>
  </si>
  <si>
    <t>Delfina Latchford</t>
  </si>
  <si>
    <t>OFF-ST-10001228</t>
  </si>
  <si>
    <t>OFF-EN-10003296</t>
  </si>
  <si>
    <t>US-2015-159982</t>
  </si>
  <si>
    <t>DR-12880</t>
  </si>
  <si>
    <t>Dan Reichenbach</t>
  </si>
  <si>
    <t>OFF-ST-10004804</t>
  </si>
  <si>
    <t>TEC-PH-10001580</t>
  </si>
  <si>
    <t>CA-2017-163139</t>
  </si>
  <si>
    <t>CC-12670</t>
  </si>
  <si>
    <t>Craig Carreira</t>
  </si>
  <si>
    <t>TEC-AC-10000290</t>
  </si>
  <si>
    <t>OFF-ST-10002790</t>
  </si>
  <si>
    <t>OFF-BI-10003460</t>
  </si>
  <si>
    <t>US-2017-155299</t>
  </si>
  <si>
    <t>Dl-13600</t>
  </si>
  <si>
    <t>Dorris liebe</t>
  </si>
  <si>
    <t>OFF-AP-10002203</t>
  </si>
  <si>
    <t>US-2014-106992</t>
  </si>
  <si>
    <t>SB-20290</t>
  </si>
  <si>
    <t>Sean Braxton</t>
  </si>
  <si>
    <t>TEC-MA-10003353</t>
  </si>
  <si>
    <t>CA-2016-125318</t>
  </si>
  <si>
    <t>RC-19825</t>
  </si>
  <si>
    <t>Roy Collins</t>
  </si>
  <si>
    <t>TEC-PH-10001433</t>
  </si>
  <si>
    <t>CA-2015-155040</t>
  </si>
  <si>
    <t>AH-10210</t>
  </si>
  <si>
    <t>Alan Hwang</t>
  </si>
  <si>
    <t>TEC-AC-10004469</t>
  </si>
  <si>
    <t>CA-2017-136826</t>
  </si>
  <si>
    <t>CB-12535</t>
  </si>
  <si>
    <t>Claudia Bergmann</t>
  </si>
  <si>
    <t>Chapel Hill</t>
  </si>
  <si>
    <t>OFF-AR-10003602</t>
  </si>
  <si>
    <t>CA-2016-111010</t>
  </si>
  <si>
    <t>Morristown</t>
  </si>
  <si>
    <t>OFF-FA-10003472</t>
  </si>
  <si>
    <t>US-2017-145366</t>
  </si>
  <si>
    <t>CA-12310</t>
  </si>
  <si>
    <t>Christine Abelman</t>
  </si>
  <si>
    <t>OFF-ST-10004180</t>
  </si>
  <si>
    <t>OFF-EN-10004386</t>
  </si>
  <si>
    <t>CA-2017-163979</t>
  </si>
  <si>
    <t>KH-16690</t>
  </si>
  <si>
    <t>Kristen Hastings</t>
  </si>
  <si>
    <t>OFF-ST-10003208</t>
  </si>
  <si>
    <t>CA-2015-155334</t>
  </si>
  <si>
    <t>TEC-AC-10003628</t>
  </si>
  <si>
    <t>FUR-FU-10003274</t>
  </si>
  <si>
    <t>OFF-BI-10002557</t>
  </si>
  <si>
    <t>CA-2017-118136</t>
  </si>
  <si>
    <t>BB-10990</t>
  </si>
  <si>
    <t>Barry Blumstein</t>
  </si>
  <si>
    <t>Inglewood</t>
  </si>
  <si>
    <t>OFF-PA-10002615</t>
  </si>
  <si>
    <t>OFF-AR-10001427</t>
  </si>
  <si>
    <t>CA-2017-132976</t>
  </si>
  <si>
    <t>AG-10495</t>
  </si>
  <si>
    <t>Andrew Gjertsen</t>
  </si>
  <si>
    <t>OFF-PA-10000673</t>
  </si>
  <si>
    <t>OFF-PA-10004470</t>
  </si>
  <si>
    <t>OFF-ST-10000876</t>
  </si>
  <si>
    <t>OFF-LA-10002043</t>
  </si>
  <si>
    <t>US-2015-161991</t>
  </si>
  <si>
    <t>OFF-BI-10004967</t>
  </si>
  <si>
    <t>TEC-PH-10001760</t>
  </si>
  <si>
    <t>CA-2015-130890</t>
  </si>
  <si>
    <t>JO-15280</t>
  </si>
  <si>
    <t>Jas O'Carroll</t>
  </si>
  <si>
    <t>FUR-TA-10002903</t>
  </si>
  <si>
    <t>CA-2015-130883</t>
  </si>
  <si>
    <t>OFF-PA-10000474</t>
  </si>
  <si>
    <t>TEC-AC-10001956</t>
  </si>
  <si>
    <t>OFF-PA-10004100</t>
  </si>
  <si>
    <t>CA-2016-112697</t>
  </si>
  <si>
    <t>AH-10195</t>
  </si>
  <si>
    <t>Alan Haines</t>
  </si>
  <si>
    <t>Tamarac</t>
  </si>
  <si>
    <t>OFF-BI-10000778</t>
  </si>
  <si>
    <t>OFF-SU-10000646</t>
  </si>
  <si>
    <t>CA-2016-110772</t>
  </si>
  <si>
    <t>NZ-18565</t>
  </si>
  <si>
    <t>Nick Zandusky</t>
  </si>
  <si>
    <t>OFF-FA-10002983</t>
  </si>
  <si>
    <t>OFF-LA-10004689</t>
  </si>
  <si>
    <t>TEC-AC-10002001</t>
  </si>
  <si>
    <t>FUR-BO-10004709</t>
  </si>
  <si>
    <t>CA-2014-111451</t>
  </si>
  <si>
    <t>KL-16555</t>
  </si>
  <si>
    <t>Kelly Lampkin</t>
  </si>
  <si>
    <t>FUR-FU-10004091</t>
  </si>
  <si>
    <t>FUR-CH-10001891</t>
  </si>
  <si>
    <t>FUR-FU-10002918</t>
  </si>
  <si>
    <t>OFF-BI-10004593</t>
  </si>
  <si>
    <t>OFF-FA-10004854</t>
  </si>
  <si>
    <t>CA-2016-142545</t>
  </si>
  <si>
    <t>Belleville</t>
  </si>
  <si>
    <t>OFF-PA-10002105</t>
  </si>
  <si>
    <t>Total</t>
  </si>
  <si>
    <t>VLOOKUP Discount Table</t>
  </si>
  <si>
    <t>Min Qty</t>
  </si>
  <si>
    <t>Discount Rate</t>
  </si>
  <si>
    <t>The VLOOKUP searches the Quantity value against the lookup table in X311:Y313. TRUE finds the closest match. Absolute references are needed so the table range does not shift when the formula is copied down.</t>
  </si>
  <si>
    <t>City with the highest $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</si>
</sst>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quot;$&quot;#,##0.00"/>
    <numFmt numFmtId="166" formatCode="0.0%"/>
    <numFmt numFmtId="167" formatCode="&quot;$&quot;#,##0"/>
  </numFmts>
  <fonts count="4">
    <font>
      <sz val="10"/>
      <name val="Arial"/>
    </font>
    <font>
      <b/>
      <sz val="10"/>
      <name val="Arial"/>
      <family val="2"/>
    </font>
    <font>
      <sz val="12"/>
      <color rgb="FF000000"/>
      <name val="Calibri"/>
      <family val="2"/>
      <scheme val="minor"/>
    </font>
    <font>
      <sz val="1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1" fontId="1" fillId="0" borderId="0" xfId="0" applyNumberFormat="1" applyFont="1"/>
    <xf numFmtId="1" fontId="0" fillId="0" borderId="0" xfId="0" applyNumberFormat="1"/>
    <xf numFmtId="0" fontId="2" fillId="0" borderId="0" xfId="0" applyFont="1"/>
    <xf numFmtId="14" fontId="0" fillId="0" borderId="0" xfId="0" applyNumberFormat="1"/>
    <xf numFmtId="2" fontId="0" fillId="0" borderId="0" xfId="0" applyNumberFormat="1"/>
    <xf numFmtId="164" fontId="0" fillId="0" borderId="0" xfId="0" applyNumberFormat="1"/>
    <xf numFmtId="165" fontId="2" fillId="0" borderId="0" xfId="0" applyNumberFormat="1" applyFont="1"/>
    <xf numFmtId="165" fontId="0" fillId="0" borderId="0" xfId="0" applyNumberFormat="1"/>
    <xf numFmtId="166" fontId="2" fillId="0" borderId="0" xfId="0" applyNumberFormat="1" applyFon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3" fillId="0" borderId="0" xfId="0" applyFont="1"/>
  </cellXfs>
  <cellStyles count="1">
    <cellStyle name="Normal" xfId="0" builtinId="0"/>
  </cellStyles>
  <dxfs count="11">
    <dxf>
      <numFmt numFmtId="165" formatCode="&quot;$&quot;#,##0.00"/>
    </dxf>
    <dxf>
      <numFmt numFmtId="166" formatCode="0.0%"/>
    </dxf>
    <dxf>
      <numFmt numFmtId="165" formatCode="&quot;$&quot;#,##0.00"/>
    </dxf>
    <dxf>
      <numFmt numFmtId="166" formatCode="0.0%"/>
    </dxf>
    <dxf>
      <font>
        <b val="0"/>
        <i val="0"/>
        <strike val="0"/>
        <condense val="0"/>
        <extend val="0"/>
        <outline val="0"/>
        <shadow val="0"/>
        <u val="none"/>
        <vertAlign val="baseline"/>
        <sz val="12"/>
        <color rgb="FF000000"/>
        <name val="Calibri"/>
        <family val="2"/>
        <scheme val="minor"/>
      </font>
    </dxf>
    <dxf>
      <numFmt numFmtId="167" formatCode="&quot;$&quot;#,##0"/>
    </dxf>
    <dxf>
      <numFmt numFmtId="167" formatCode="&quot;$&quot;#,##0"/>
    </dxf>
    <dxf>
      <numFmt numFmtId="167" formatCode="&quot;$&quot;#,##0"/>
    </dxf>
    <dxf>
      <numFmt numFmtId="167" formatCode="&quot;$&quot;#,##0"/>
    </dxf>
    <dxf>
      <numFmt numFmtId="167" formatCode="&quot;$&quot;#,##0"/>
    </dxf>
    <dxf>
      <numFmt numFmtId="167" formatCode="&quot;$&quo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[assignment11_updated_v2 2.xlsx]PastryPivot!PivotTable2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Totals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40000"/>
                  <a:satMod val="155000"/>
                </a:schemeClr>
              </a:gs>
              <a:gs pos="65000">
                <a:schemeClr val="accent1">
                  <a:shade val="85000"/>
                  <a:satMod val="155000"/>
                </a:schemeClr>
              </a:gs>
              <a:gs pos="100000">
                <a:schemeClr val="accent1">
                  <a:shade val="95000"/>
                  <a:satMod val="155000"/>
                </a:schemeClr>
              </a:gs>
            </a:gsLst>
            <a:lin ang="16200000" scaled="0"/>
          </a:gradFill>
          <a:ln>
            <a:noFill/>
          </a:ln>
          <a:effectLst>
            <a:outerShdw blurRad="39000" dist="25400" dir="540000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40000"/>
                  <a:satMod val="155000"/>
                </a:schemeClr>
              </a:gs>
              <a:gs pos="65000">
                <a:schemeClr val="accent1">
                  <a:shade val="85000"/>
                  <a:satMod val="155000"/>
                </a:schemeClr>
              </a:gs>
              <a:gs pos="100000">
                <a:schemeClr val="accent1">
                  <a:shade val="95000"/>
                  <a:satMod val="155000"/>
                </a:schemeClr>
              </a:gs>
            </a:gsLst>
            <a:lin ang="16200000" scaled="0"/>
          </a:gradFill>
          <a:ln>
            <a:noFill/>
          </a:ln>
          <a:effectLst>
            <a:outerShdw blurRad="39000" dist="25400" dir="540000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40000"/>
                  <a:satMod val="155000"/>
                </a:schemeClr>
              </a:gs>
              <a:gs pos="65000">
                <a:schemeClr val="accent1">
                  <a:shade val="85000"/>
                  <a:satMod val="155000"/>
                </a:schemeClr>
              </a:gs>
              <a:gs pos="100000">
                <a:schemeClr val="accent1">
                  <a:shade val="95000"/>
                  <a:satMod val="155000"/>
                </a:schemeClr>
              </a:gs>
            </a:gsLst>
            <a:lin ang="16200000" scaled="0"/>
          </a:gradFill>
          <a:ln>
            <a:noFill/>
          </a:ln>
          <a:effectLst>
            <a:outerShdw blurRad="39000" dist="25400" dir="540000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PastryPivot!$B$3:$B$4</c:f>
              <c:strCache>
                <c:ptCount val="1"/>
                <c:pt idx="0">
                  <c:v>Florida</c:v>
                </c:pt>
              </c:strCache>
            </c:strRef>
          </c:tx>
          <c:spPr>
            <a:gradFill rotWithShape="1">
              <a:gsLst>
                <a:gs pos="0">
                  <a:schemeClr val="accent1">
                    <a:shade val="40000"/>
                    <a:satMod val="155000"/>
                  </a:schemeClr>
                </a:gs>
                <a:gs pos="65000">
                  <a:schemeClr val="accent1">
                    <a:shade val="85000"/>
                    <a:satMod val="155000"/>
                  </a:schemeClr>
                </a:gs>
                <a:gs pos="100000">
                  <a:schemeClr val="accent1">
                    <a:shade val="95000"/>
                    <a:satMod val="155000"/>
                  </a:schemeClr>
                </a:gs>
              </a:gsLst>
              <a:lin ang="16200000" scaled="0"/>
            </a:gradFill>
            <a:ln>
              <a:noFill/>
            </a:ln>
            <a:effectLst>
              <a:outerShdw blurRad="39000" dist="25400" dir="5400000">
                <a:srgbClr val="000000">
                  <a:alpha val="35000"/>
                </a:srgbClr>
              </a:outerShdw>
            </a:effectLst>
            <a:sp3d/>
          </c:spPr>
          <c:invertIfNegative val="0"/>
          <c:cat>
            <c:strRef>
              <c:f>PastryPivot!$A$5:$A$14</c:f>
              <c:strCache>
                <c:ptCount val="9"/>
                <c:pt idx="0">
                  <c:v>January</c:v>
                </c:pt>
                <c:pt idx="1">
                  <c:v>February</c:v>
                </c:pt>
                <c:pt idx="2">
                  <c:v>March</c:v>
                </c:pt>
                <c:pt idx="3">
                  <c:v>April</c:v>
                </c:pt>
                <c:pt idx="4">
                  <c:v>May</c:v>
                </c:pt>
                <c:pt idx="5">
                  <c:v>June</c:v>
                </c:pt>
                <c:pt idx="6">
                  <c:v>July</c:v>
                </c:pt>
                <c:pt idx="7">
                  <c:v>August</c:v>
                </c:pt>
                <c:pt idx="8">
                  <c:v>September</c:v>
                </c:pt>
              </c:strCache>
            </c:strRef>
          </c:cat>
          <c:val>
            <c:numRef>
              <c:f>PastryPivot!$B$5:$B$14</c:f>
              <c:numCache>
                <c:formatCode>\$#,##0</c:formatCode>
                <c:ptCount val="9"/>
                <c:pt idx="0">
                  <c:v>2747</c:v>
                </c:pt>
                <c:pt idx="1">
                  <c:v>3936</c:v>
                </c:pt>
                <c:pt idx="2">
                  <c:v>18087</c:v>
                </c:pt>
                <c:pt idx="3">
                  <c:v>4244</c:v>
                </c:pt>
                <c:pt idx="4">
                  <c:v>3658</c:v>
                </c:pt>
                <c:pt idx="5">
                  <c:v>1699</c:v>
                </c:pt>
                <c:pt idx="6">
                  <c:v>2991</c:v>
                </c:pt>
                <c:pt idx="7">
                  <c:v>3772</c:v>
                </c:pt>
                <c:pt idx="8">
                  <c:v>3829</c:v>
                </c:pt>
              </c:numCache>
            </c:numRef>
          </c:val>
          <c:extLst>
            <c:ext xmlns:c16="http://schemas.microsoft.com/office/drawing/2014/chart" uri="{C3380CC4-5D6E-409C-BE32-E72D297353CC}">
              <c16:uniqueId val="{00000000-C96B-4C14-B48E-2A32339A55B7}"/>
            </c:ext>
          </c:extLst>
        </c:ser>
        <c:ser>
          <c:idx val="1"/>
          <c:order val="1"/>
          <c:tx>
            <c:strRef>
              <c:f>PastryPivot!$C$3:$C$4</c:f>
              <c:strCache>
                <c:ptCount val="1"/>
                <c:pt idx="0">
                  <c:v>Nevada</c:v>
                </c:pt>
              </c:strCache>
            </c:strRef>
          </c:tx>
          <c:spPr>
            <a:gradFill rotWithShape="1">
              <a:gsLst>
                <a:gs pos="0">
                  <a:schemeClr val="accent2">
                    <a:shade val="40000"/>
                    <a:satMod val="155000"/>
                  </a:schemeClr>
                </a:gs>
                <a:gs pos="65000">
                  <a:schemeClr val="accent2">
                    <a:shade val="85000"/>
                    <a:satMod val="155000"/>
                  </a:schemeClr>
                </a:gs>
                <a:gs pos="100000">
                  <a:schemeClr val="accent2">
                    <a:shade val="95000"/>
                    <a:satMod val="155000"/>
                  </a:schemeClr>
                </a:gs>
              </a:gsLst>
              <a:lin ang="16200000" scaled="0"/>
            </a:gradFill>
            <a:ln>
              <a:noFill/>
            </a:ln>
            <a:effectLst>
              <a:outerShdw blurRad="39000" dist="25400" dir="5400000">
                <a:srgbClr val="000000">
                  <a:alpha val="35000"/>
                </a:srgbClr>
              </a:outerShdw>
            </a:effectLst>
            <a:sp3d/>
          </c:spPr>
          <c:invertIfNegative val="0"/>
          <c:cat>
            <c:strRef>
              <c:f>PastryPivot!$A$5:$A$14</c:f>
              <c:strCache>
                <c:ptCount val="9"/>
                <c:pt idx="0">
                  <c:v>January</c:v>
                </c:pt>
                <c:pt idx="1">
                  <c:v>February</c:v>
                </c:pt>
                <c:pt idx="2">
                  <c:v>March</c:v>
                </c:pt>
                <c:pt idx="3">
                  <c:v>April</c:v>
                </c:pt>
                <c:pt idx="4">
                  <c:v>May</c:v>
                </c:pt>
                <c:pt idx="5">
                  <c:v>June</c:v>
                </c:pt>
                <c:pt idx="6">
                  <c:v>July</c:v>
                </c:pt>
                <c:pt idx="7">
                  <c:v>August</c:v>
                </c:pt>
                <c:pt idx="8">
                  <c:v>September</c:v>
                </c:pt>
              </c:strCache>
            </c:strRef>
          </c:cat>
          <c:val>
            <c:numRef>
              <c:f>PastryPivot!$C$5:$C$14</c:f>
              <c:numCache>
                <c:formatCode>\$#,##0</c:formatCode>
                <c:ptCount val="9"/>
                <c:pt idx="1">
                  <c:v>4760</c:v>
                </c:pt>
                <c:pt idx="2">
                  <c:v>17394</c:v>
                </c:pt>
                <c:pt idx="3">
                  <c:v>3312</c:v>
                </c:pt>
                <c:pt idx="4">
                  <c:v>3552</c:v>
                </c:pt>
                <c:pt idx="5">
                  <c:v>3567</c:v>
                </c:pt>
                <c:pt idx="6">
                  <c:v>1919</c:v>
                </c:pt>
                <c:pt idx="7">
                  <c:v>3772</c:v>
                </c:pt>
                <c:pt idx="8">
                  <c:v>2882</c:v>
                </c:pt>
              </c:numCache>
            </c:numRef>
          </c:val>
          <c:extLst>
            <c:ext xmlns:c16="http://schemas.microsoft.com/office/drawing/2014/chart" uri="{C3380CC4-5D6E-409C-BE32-E72D297353CC}">
              <c16:uniqueId val="{00000001-C96B-4C14-B48E-2A32339A55B7}"/>
            </c:ext>
          </c:extLst>
        </c:ser>
        <c:ser>
          <c:idx val="2"/>
          <c:order val="2"/>
          <c:tx>
            <c:strRef>
              <c:f>PastryPivot!$D$3:$D$4</c:f>
              <c:strCache>
                <c:ptCount val="1"/>
                <c:pt idx="0">
                  <c:v>Texas</c:v>
                </c:pt>
              </c:strCache>
            </c:strRef>
          </c:tx>
          <c:spPr>
            <a:gradFill rotWithShape="1">
              <a:gsLst>
                <a:gs pos="0">
                  <a:schemeClr val="accent3">
                    <a:shade val="40000"/>
                    <a:satMod val="155000"/>
                  </a:schemeClr>
                </a:gs>
                <a:gs pos="65000">
                  <a:schemeClr val="accent3">
                    <a:shade val="85000"/>
                    <a:satMod val="155000"/>
                  </a:schemeClr>
                </a:gs>
                <a:gs pos="100000">
                  <a:schemeClr val="accent3">
                    <a:shade val="95000"/>
                    <a:satMod val="155000"/>
                  </a:schemeClr>
                </a:gs>
              </a:gsLst>
              <a:lin ang="16200000" scaled="0"/>
            </a:gradFill>
            <a:ln>
              <a:noFill/>
            </a:ln>
            <a:effectLst>
              <a:outerShdw blurRad="39000" dist="25400" dir="5400000">
                <a:srgbClr val="000000">
                  <a:alpha val="35000"/>
                </a:srgbClr>
              </a:outerShdw>
            </a:effectLst>
            <a:sp3d/>
          </c:spPr>
          <c:invertIfNegative val="0"/>
          <c:cat>
            <c:strRef>
              <c:f>PastryPivot!$A$5:$A$14</c:f>
              <c:strCache>
                <c:ptCount val="9"/>
                <c:pt idx="0">
                  <c:v>January</c:v>
                </c:pt>
                <c:pt idx="1">
                  <c:v>February</c:v>
                </c:pt>
                <c:pt idx="2">
                  <c:v>March</c:v>
                </c:pt>
                <c:pt idx="3">
                  <c:v>April</c:v>
                </c:pt>
                <c:pt idx="4">
                  <c:v>May</c:v>
                </c:pt>
                <c:pt idx="5">
                  <c:v>June</c:v>
                </c:pt>
                <c:pt idx="6">
                  <c:v>July</c:v>
                </c:pt>
                <c:pt idx="7">
                  <c:v>August</c:v>
                </c:pt>
                <c:pt idx="8">
                  <c:v>September</c:v>
                </c:pt>
              </c:strCache>
            </c:strRef>
          </c:cat>
          <c:val>
            <c:numRef>
              <c:f>PastryPivot!$D$5:$D$14</c:f>
              <c:numCache>
                <c:formatCode>\$#,##0</c:formatCode>
                <c:ptCount val="9"/>
                <c:pt idx="0">
                  <c:v>1103</c:v>
                </c:pt>
                <c:pt idx="1">
                  <c:v>1248</c:v>
                </c:pt>
                <c:pt idx="2">
                  <c:v>18261</c:v>
                </c:pt>
                <c:pt idx="3">
                  <c:v>3299</c:v>
                </c:pt>
                <c:pt idx="4">
                  <c:v>3052</c:v>
                </c:pt>
                <c:pt idx="5">
                  <c:v>4274</c:v>
                </c:pt>
                <c:pt idx="6">
                  <c:v>2789</c:v>
                </c:pt>
                <c:pt idx="7">
                  <c:v>2164</c:v>
                </c:pt>
                <c:pt idx="8">
                  <c:v>3633</c:v>
                </c:pt>
              </c:numCache>
            </c:numRef>
          </c:val>
          <c:extLst>
            <c:ext xmlns:c16="http://schemas.microsoft.com/office/drawing/2014/chart" uri="{C3380CC4-5D6E-409C-BE32-E72D297353CC}">
              <c16:uniqueId val="{00000002-C96B-4C14-B48E-2A32339A55B7}"/>
            </c:ext>
          </c:extLst>
        </c:ser>
        <c:dLbls>
          <c:showLegendKey val="0"/>
          <c:showVal val="0"/>
          <c:showCatName val="0"/>
          <c:showSerName val="0"/>
          <c:showPercent val="0"/>
          <c:showBubbleSize val="0"/>
        </c:dLbls>
        <c:gapWidth val="75"/>
        <c:shape val="box"/>
        <c:axId val="462757135"/>
        <c:axId val="462754735"/>
        <c:axId val="0"/>
      </c:bar3DChart>
      <c:catAx>
        <c:axId val="46275713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62754735"/>
        <c:crosses val="autoZero"/>
        <c:auto val="1"/>
        <c:lblAlgn val="ctr"/>
        <c:lblOffset val="100"/>
        <c:noMultiLvlLbl val="0"/>
      </c:catAx>
      <c:valAx>
        <c:axId val="462754735"/>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6275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121920</xdr:colOff>
      <xdr:row>9</xdr:row>
      <xdr:rowOff>38100</xdr:rowOff>
    </xdr:from>
    <xdr:to>
      <xdr:col>10</xdr:col>
      <xdr:colOff>68580</xdr:colOff>
      <xdr:row>25</xdr:row>
      <xdr:rowOff>99060</xdr:rowOff>
    </xdr:to>
    <xdr:graphicFrame macro="">
      <xdr:nvGraphicFramePr>
        <xdr:cNvPr id="2" name="Chart 1">
          <a:extLst>
            <a:ext uri="{FF2B5EF4-FFF2-40B4-BE49-F238E27FC236}">
              <a16:creationId xmlns:a16="http://schemas.microsoft.com/office/drawing/2014/main" id="{D99196F3-71C5-6E42-40E7-74941194EF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yler" refreshedDate="46143.901356249997" createdVersion="8" refreshedVersion="8" minRefreshableVersion="3" recordCount="305" xr:uid="{F6CD962E-15E9-4AFA-A349-4250A22A5361}">
  <cacheSource type="worksheet">
    <worksheetSource name="Table1"/>
  </cacheSource>
  <cacheFields count="24">
    <cacheField name="Row ID" numFmtId="0">
      <sharedItems containsString="0" containsBlank="1" containsNumber="1" containsInteger="1" minValue="1" maxValue="299"/>
    </cacheField>
    <cacheField name="Order ID" numFmtId="0">
      <sharedItems containsBlank="1"/>
    </cacheField>
    <cacheField name="Order Date" numFmtId="0">
      <sharedItems containsNonDate="0" containsDate="1" containsString="0" containsBlank="1" minDate="2014-03-01T00:00:00" maxDate="2017-12-29T00:00:00"/>
    </cacheField>
    <cacheField name="Ship Date" numFmtId="0">
      <sharedItems containsNonDate="0" containsDate="1" containsString="0" containsBlank="1" minDate="2014-03-06T00:00:00" maxDate="2018-01-03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acheField>
    <cacheField name="City" numFmtId="0">
      <sharedItems containsBlank="1" count="80">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m/>
      </sharedItems>
    </cacheField>
    <cacheField name="State" numFmtId="0">
      <sharedItems containsBlank="1"/>
    </cacheField>
    <cacheField name="Postal Code" numFmtId="0">
      <sharedItems containsString="0" containsBlank="1" containsNumber="1" containsInteger="1" minValue="6824" maxValue="98115"/>
    </cacheField>
    <cacheField name="Region" numFmtId="0">
      <sharedItems containsBlank="1"/>
    </cacheField>
    <cacheField name="Product ID" numFmtId="0">
      <sharedItems containsBlank="1"/>
    </cacheField>
    <cacheField name="Category" numFmtId="0">
      <sharedItems count="1">
        <s v="Plants"/>
      </sharedItems>
    </cacheField>
    <cacheField name="Sub-Category" numFmtId="0">
      <sharedItems count="7">
        <s v="Indoor Plants"/>
        <s v="Flowering Plants"/>
        <s v="Succulents"/>
        <s v="Vining Plants"/>
        <s v="Tropical Plants"/>
        <s v="Tree Plants"/>
        <s v="Fern Plants"/>
      </sharedItems>
    </cacheField>
    <cacheField name="Product Name" numFmtId="0">
      <sharedItems/>
    </cacheField>
    <cacheField name="Sales" numFmtId="0">
      <sharedItems containsString="0" containsBlank="1" containsNumber="1" minValue="1.248" maxValue="8159.9519999999993"/>
    </cacheField>
    <cacheField name="Quantity" numFmtId="0">
      <sharedItems containsString="0" containsBlank="1" containsNumber="1" containsInteger="1" minValue="1" maxValue="14"/>
    </cacheField>
    <cacheField name="Discount" numFmtId="0">
      <sharedItems containsNonDate="0" containsString="0" containsBlank="1"/>
    </cacheField>
    <cacheField name="Net Profit" numFmtId="0">
      <sharedItems containsString="0" containsBlank="1" containsNumber="1" minValue="0.504" maxValue="19583.884799999996"/>
    </cacheField>
    <cacheField name="VLOOKUP Discount" numFmtId="0">
      <sharedItems containsSemiMixedTypes="0" containsString="0" containsNumber="1" minValue="0" maxValue="7.4999999999999997E-2"/>
    </cacheField>
    <cacheField name="Discount $ Value" numFmtId="165">
      <sharedItems containsSemiMixedTypes="0" containsString="0" containsNumber="1" minValue="0" maxValue="407.99759999999998"/>
    </cacheField>
    <cacheField name="Profit Margin" numFmtId="0">
      <sharedItems containsSemiMixedTypes="0" containsString="0" containsNumber="1" minValue="0" maxValue="4.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yler" refreshedDate="46143.907110185188" createdVersion="8" refreshedVersion="8" minRefreshableVersion="3" recordCount="224" xr:uid="{FE57F86C-DECD-489F-BC6C-49883394E51F}">
  <cacheSource type="worksheet">
    <worksheetSource ref="A1:D225" sheet="ec1439 PastrySales"/>
  </cacheSource>
  <cacheFields count="4">
    <cacheField name="Month" numFmtId="0">
      <sharedItems count="9">
        <s v="January"/>
        <s v="February"/>
        <s v="March"/>
        <s v="April"/>
        <s v="May"/>
        <s v="June"/>
        <s v="July"/>
        <s v="August"/>
        <s v="September"/>
      </sharedItems>
    </cacheField>
    <cacheField name="Product" numFmtId="0">
      <sharedItems count="6">
        <s v="Butter Croissant"/>
        <s v="Blueberry Muffin"/>
        <s v="Cinnamon Roll"/>
        <s v="Chocolate Eclair"/>
        <s v="Apple Turnover"/>
        <s v="Cheese Danish"/>
      </sharedItems>
    </cacheField>
    <cacheField name="State" numFmtId="0">
      <sharedItems count="3">
        <s v="Texas"/>
        <s v="Florida"/>
        <s v="Nevada"/>
      </sharedItems>
    </cacheField>
    <cacheField name="Sales $" numFmtId="164">
      <sharedItems containsSemiMixedTypes="0" containsString="0" containsNumber="1" containsInteger="1" minValue="99" maxValue="98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
  <r>
    <n v="1"/>
    <s v="CA-2016-152156"/>
    <d v="2016-11-08T00:00:00"/>
    <d v="2016-11-11T00:00:00"/>
    <s v="Second Class"/>
    <s v="CG-12520"/>
    <s v="Claire Gute"/>
    <s v="Consumer"/>
    <s v="United States"/>
    <x v="0"/>
    <s v="Kentucky"/>
    <n v="42420"/>
    <s v="South"/>
    <s v="FUR-BO-10001798"/>
    <x v="0"/>
    <x v="0"/>
    <s v="Snake Plant"/>
    <n v="261.95999999999998"/>
    <n v="2"/>
    <m/>
    <n v="157.17599999999999"/>
    <n v="0"/>
    <n v="0"/>
    <n v="0.6"/>
  </r>
  <r>
    <n v="2"/>
    <s v="CA-2016-152156"/>
    <d v="2016-11-08T00:00:00"/>
    <d v="2016-11-11T00:00:00"/>
    <s v="Second Class"/>
    <s v="CG-12520"/>
    <s v="Claire Gute"/>
    <s v="Consumer"/>
    <s v="United States"/>
    <x v="0"/>
    <s v="Kentucky"/>
    <n v="42420"/>
    <s v="South"/>
    <s v="FUR-CH-10000454"/>
    <x v="0"/>
    <x v="1"/>
    <s v="Peace Lily"/>
    <n v="731.93999999999994"/>
    <n v="3"/>
    <m/>
    <n v="658.74599999999987"/>
    <n v="0"/>
    <n v="0"/>
    <n v="0.89999999999999991"/>
  </r>
  <r>
    <n v="3"/>
    <s v="CA-2016-138688"/>
    <d v="2016-06-12T00:00:00"/>
    <d v="2016-06-16T00:00:00"/>
    <s v="Second Class"/>
    <s v="DV-13045"/>
    <s v="Darrin Van Huff"/>
    <s v="Corporate"/>
    <s v="United States"/>
    <x v="1"/>
    <s v="California"/>
    <n v="90036"/>
    <s v="West"/>
    <s v="OFF-LA-10000240"/>
    <x v="0"/>
    <x v="2"/>
    <s v="Aloe Vera"/>
    <n v="14.62"/>
    <n v="2"/>
    <m/>
    <n v="8.7719999999999985"/>
    <n v="0"/>
    <n v="0"/>
    <n v="0.6"/>
  </r>
  <r>
    <n v="4"/>
    <s v="US-2015-108966"/>
    <d v="2015-10-11T00:00:00"/>
    <d v="2015-10-18T00:00:00"/>
    <s v="Standard Class"/>
    <s v="SO-20335"/>
    <s v="Sean O'Donnell"/>
    <s v="Consumer"/>
    <s v="United States"/>
    <x v="2"/>
    <s v="Florida"/>
    <n v="33311"/>
    <s v="South"/>
    <s v="FUR-TA-10000577"/>
    <x v="0"/>
    <x v="0"/>
    <s v="Spider Plant"/>
    <n v="957.57749999999999"/>
    <n v="5"/>
    <m/>
    <n v="1436.3662499999998"/>
    <n v="0.05"/>
    <n v="47.878875000000001"/>
    <n v="1.4999999999999998"/>
  </r>
  <r>
    <n v="5"/>
    <s v="US-2015-108966"/>
    <d v="2015-10-11T00:00:00"/>
    <d v="2015-10-18T00:00:00"/>
    <s v="Standard Class"/>
    <s v="SO-20335"/>
    <s v="Sean O'Donnell"/>
    <s v="Consumer"/>
    <s v="United States"/>
    <x v="2"/>
    <s v="Florida"/>
    <n v="33311"/>
    <s v="South"/>
    <s v="OFF-ST-10000760"/>
    <x v="0"/>
    <x v="3"/>
    <s v="Pothos"/>
    <n v="22.367999999999999"/>
    <n v="2"/>
    <m/>
    <n v="13.420799999999998"/>
    <n v="0"/>
    <n v="0"/>
    <n v="0.6"/>
  </r>
  <r>
    <n v="6"/>
    <s v="CA-2014-115812"/>
    <d v="2014-06-09T00:00:00"/>
    <d v="2014-06-14T00:00:00"/>
    <s v="Standard Class"/>
    <s v="BH-11710"/>
    <s v="Brosina Hoffman"/>
    <s v="Consumer"/>
    <s v="United States"/>
    <x v="1"/>
    <s v="California"/>
    <n v="90032"/>
    <s v="West"/>
    <s v="FUR-FU-10001487"/>
    <x v="0"/>
    <x v="4"/>
    <s v="Monstera"/>
    <n v="48.86"/>
    <n v="7"/>
    <m/>
    <n v="102.60599999999999"/>
    <n v="0.05"/>
    <n v="2.4430000000000001"/>
    <n v="2.1"/>
  </r>
  <r>
    <n v="7"/>
    <s v="CA-2014-115812"/>
    <d v="2014-06-09T00:00:00"/>
    <d v="2014-06-14T00:00:00"/>
    <s v="Standard Class"/>
    <s v="BH-11710"/>
    <s v="Brosina Hoffman"/>
    <s v="Consumer"/>
    <s v="United States"/>
    <x v="1"/>
    <s v="California"/>
    <n v="90032"/>
    <s v="West"/>
    <s v="OFF-AR-10002833"/>
    <x v="0"/>
    <x v="0"/>
    <s v="ZZ Plant"/>
    <n v="7.28"/>
    <n v="4"/>
    <m/>
    <n v="8.7360000000000007"/>
    <n v="0"/>
    <n v="0"/>
    <n v="1.2"/>
  </r>
  <r>
    <n v="8"/>
    <s v="CA-2014-115812"/>
    <d v="2014-06-09T00:00:00"/>
    <d v="2014-06-14T00:00:00"/>
    <s v="Standard Class"/>
    <s v="BH-11710"/>
    <s v="Brosina Hoffman"/>
    <s v="Consumer"/>
    <s v="United States"/>
    <x v="1"/>
    <s v="California"/>
    <n v="90032"/>
    <s v="West"/>
    <s v="TEC-PH-10002275"/>
    <x v="0"/>
    <x v="0"/>
    <s v="Rubber Plant"/>
    <n v="907.15200000000004"/>
    <n v="6"/>
    <m/>
    <n v="1632.8736000000001"/>
    <n v="0.05"/>
    <n v="45.357600000000005"/>
    <n v="1.8"/>
  </r>
  <r>
    <n v="9"/>
    <s v="CA-2014-115812"/>
    <d v="2014-06-09T00:00:00"/>
    <d v="2014-06-14T00:00:00"/>
    <s v="Standard Class"/>
    <s v="BH-11710"/>
    <s v="Brosina Hoffman"/>
    <s v="Consumer"/>
    <s v="United States"/>
    <x v="1"/>
    <s v="California"/>
    <n v="90032"/>
    <s v="West"/>
    <s v="OFF-BI-10003910"/>
    <x v="0"/>
    <x v="2"/>
    <s v="Jade Plant"/>
    <n v="18.504000000000001"/>
    <n v="3"/>
    <m/>
    <n v="16.653600000000001"/>
    <n v="0"/>
    <n v="0"/>
    <n v="0.9"/>
  </r>
  <r>
    <n v="10"/>
    <s v="CA-2014-115812"/>
    <d v="2014-06-09T00:00:00"/>
    <d v="2014-06-14T00:00:00"/>
    <s v="Standard Class"/>
    <s v="BH-11710"/>
    <s v="Brosina Hoffman"/>
    <s v="Consumer"/>
    <s v="United States"/>
    <x v="1"/>
    <s v="California"/>
    <n v="90032"/>
    <s v="West"/>
    <s v="OFF-AP-10002892"/>
    <x v="0"/>
    <x v="5"/>
    <s v="Fiddle Leaf Fig"/>
    <n v="114.9"/>
    <n v="5"/>
    <m/>
    <n v="172.35"/>
    <n v="0.05"/>
    <n v="5.745000000000001"/>
    <n v="1.4999999999999998"/>
  </r>
  <r>
    <n v="11"/>
    <s v="CA-2014-115812"/>
    <d v="2014-06-09T00:00:00"/>
    <d v="2014-06-14T00:00:00"/>
    <s v="Standard Class"/>
    <s v="BH-11710"/>
    <s v="Brosina Hoffman"/>
    <s v="Consumer"/>
    <s v="United States"/>
    <x v="1"/>
    <s v="California"/>
    <n v="90032"/>
    <s v="West"/>
    <s v="FUR-TA-10001539"/>
    <x v="0"/>
    <x v="4"/>
    <s v="Areca Palm"/>
    <n v="1706.184"/>
    <n v="9"/>
    <m/>
    <n v="4606.6967999999997"/>
    <n v="0.05"/>
    <n v="85.309200000000004"/>
    <n v="2.6999999999999997"/>
  </r>
  <r>
    <n v="12"/>
    <s v="CA-2014-115812"/>
    <d v="2014-06-09T00:00:00"/>
    <d v="2014-06-14T00:00:00"/>
    <s v="Standard Class"/>
    <s v="BH-11710"/>
    <s v="Brosina Hoffman"/>
    <s v="Consumer"/>
    <s v="United States"/>
    <x v="1"/>
    <s v="California"/>
    <n v="90032"/>
    <s v="West"/>
    <s v="TEC-PH-10002033"/>
    <x v="0"/>
    <x v="6"/>
    <s v="Boston Fern"/>
    <n v="911.42399999999998"/>
    <n v="4"/>
    <m/>
    <n v="1093.7087999999999"/>
    <n v="0"/>
    <n v="0"/>
    <n v="1.2"/>
  </r>
  <r>
    <n v="13"/>
    <s v="CA-2017-114412"/>
    <d v="2017-04-15T00:00:00"/>
    <d v="2017-04-20T00:00:00"/>
    <s v="Standard Class"/>
    <s v="AA-10480"/>
    <s v="Andrew Allen"/>
    <s v="Consumer"/>
    <s v="United States"/>
    <x v="3"/>
    <s v="North Carolina"/>
    <n v="28027"/>
    <s v="South"/>
    <s v="OFF-PA-10002365"/>
    <x v="0"/>
    <x v="0"/>
    <s v="Snake Plant"/>
    <n v="15.552"/>
    <n v="3"/>
    <m/>
    <n v="13.996799999999999"/>
    <n v="0"/>
    <n v="0"/>
    <n v="0.89999999999999991"/>
  </r>
  <r>
    <n v="14"/>
    <s v="CA-2016-161389"/>
    <d v="2016-12-05T00:00:00"/>
    <d v="2016-12-10T00:00:00"/>
    <s v="Standard Class"/>
    <s v="IM-15070"/>
    <s v="Irene Maddox"/>
    <s v="Consumer"/>
    <s v="United States"/>
    <x v="4"/>
    <s v="Washington"/>
    <n v="98103"/>
    <s v="West"/>
    <s v="OFF-BI-10003656"/>
    <x v="0"/>
    <x v="1"/>
    <s v="Peace Lily"/>
    <n v="407.97600000000011"/>
    <n v="3"/>
    <m/>
    <n v="367.17840000000007"/>
    <n v="0"/>
    <n v="0"/>
    <n v="0.89999999999999991"/>
  </r>
  <r>
    <n v="15"/>
    <s v="US-2015-118983"/>
    <d v="2015-11-22T00:00:00"/>
    <d v="2015-11-26T00:00:00"/>
    <s v="Standard Class"/>
    <s v="HP-14815"/>
    <s v="Harold Pawlan"/>
    <s v="Home Office"/>
    <s v="United States"/>
    <x v="5"/>
    <s v="Texas"/>
    <n v="76106"/>
    <s v="Central"/>
    <s v="OFF-AP-10002311"/>
    <x v="0"/>
    <x v="2"/>
    <s v="Aloe Vera"/>
    <n v="68.809999999999988"/>
    <n v="5"/>
    <m/>
    <n v="103.21499999999999"/>
    <n v="0.05"/>
    <n v="3.4404999999999997"/>
    <n v="1.5"/>
  </r>
  <r>
    <n v="16"/>
    <s v="US-2015-118983"/>
    <d v="2015-11-22T00:00:00"/>
    <d v="2015-11-26T00:00:00"/>
    <s v="Standard Class"/>
    <s v="HP-14815"/>
    <s v="Harold Pawlan"/>
    <s v="Home Office"/>
    <s v="United States"/>
    <x v="5"/>
    <s v="Texas"/>
    <n v="76106"/>
    <s v="Central"/>
    <s v="OFF-BI-10000756"/>
    <x v="0"/>
    <x v="0"/>
    <s v="Spider Plant"/>
    <n v="2.544"/>
    <n v="3"/>
    <m/>
    <n v="2.2895999999999996"/>
    <n v="0"/>
    <n v="0"/>
    <n v="0.8999999999999998"/>
  </r>
  <r>
    <n v="17"/>
    <s v="CA-2014-105893"/>
    <d v="2014-11-11T00:00:00"/>
    <d v="2014-11-18T00:00:00"/>
    <s v="Standard Class"/>
    <s v="PK-19075"/>
    <s v="Pete Kriz"/>
    <s v="Consumer"/>
    <s v="United States"/>
    <x v="6"/>
    <s v="Wisconsin"/>
    <n v="53711"/>
    <s v="Central"/>
    <s v="OFF-ST-10004186"/>
    <x v="0"/>
    <x v="3"/>
    <s v="Pothos"/>
    <n v="665.88"/>
    <n v="6"/>
    <m/>
    <n v="1198.5839999999998"/>
    <n v="0.05"/>
    <n v="33.294000000000004"/>
    <n v="1.7999999999999998"/>
  </r>
  <r>
    <n v="18"/>
    <s v="CA-2014-167164"/>
    <d v="2014-05-13T00:00:00"/>
    <d v="2014-05-15T00:00:00"/>
    <s v="Second Class"/>
    <s v="AG-10270"/>
    <s v="Alejandro Grove"/>
    <s v="Consumer"/>
    <s v="United States"/>
    <x v="7"/>
    <s v="Utah"/>
    <n v="84084"/>
    <s v="West"/>
    <s v="OFF-ST-10000107"/>
    <x v="0"/>
    <x v="4"/>
    <s v="Monstera"/>
    <n v="55.5"/>
    <n v="2"/>
    <m/>
    <n v="33.299999999999997"/>
    <n v="0"/>
    <n v="0"/>
    <n v="0.6"/>
  </r>
  <r>
    <n v="19"/>
    <s v="CA-2014-143336"/>
    <d v="2014-08-27T00:00:00"/>
    <d v="2014-09-01T00:00:00"/>
    <s v="Second Class"/>
    <s v="ZD-21925"/>
    <s v="Zuschuss Donatelli"/>
    <s v="Consumer"/>
    <s v="United States"/>
    <x v="8"/>
    <s v="California"/>
    <n v="94109"/>
    <s v="West"/>
    <s v="OFF-AR-10003056"/>
    <x v="0"/>
    <x v="0"/>
    <s v="ZZ Plant"/>
    <n v="8.56"/>
    <n v="2"/>
    <m/>
    <n v="5.1360000000000001"/>
    <n v="0"/>
    <n v="0"/>
    <n v="0.6"/>
  </r>
  <r>
    <n v="20"/>
    <s v="CA-2014-143336"/>
    <d v="2014-08-27T00:00:00"/>
    <d v="2014-09-01T00:00:00"/>
    <s v="Second Class"/>
    <s v="ZD-21925"/>
    <s v="Zuschuss Donatelli"/>
    <s v="Consumer"/>
    <s v="United States"/>
    <x v="8"/>
    <s v="California"/>
    <n v="94109"/>
    <s v="West"/>
    <s v="TEC-PH-10001949"/>
    <x v="0"/>
    <x v="0"/>
    <s v="Rubber Plant"/>
    <n v="213.48"/>
    <n v="3"/>
    <m/>
    <n v="192.13199999999998"/>
    <n v="0"/>
    <n v="0"/>
    <n v="0.89999999999999991"/>
  </r>
  <r>
    <n v="21"/>
    <s v="CA-2014-143336"/>
    <d v="2014-08-27T00:00:00"/>
    <d v="2014-09-01T00:00:00"/>
    <s v="Second Class"/>
    <s v="ZD-21925"/>
    <s v="Zuschuss Donatelli"/>
    <s v="Consumer"/>
    <s v="United States"/>
    <x v="8"/>
    <s v="California"/>
    <n v="94109"/>
    <s v="West"/>
    <s v="OFF-BI-10002215"/>
    <x v="0"/>
    <x v="2"/>
    <s v="Jade Plant"/>
    <n v="22.72"/>
    <n v="4"/>
    <m/>
    <n v="27.263999999999999"/>
    <n v="0"/>
    <n v="0"/>
    <n v="1.2"/>
  </r>
  <r>
    <n v="22"/>
    <s v="CA-2016-137330"/>
    <d v="2016-12-09T00:00:00"/>
    <d v="2016-12-13T00:00:00"/>
    <s v="Standard Class"/>
    <s v="KB-16585"/>
    <s v="Ken Black"/>
    <s v="Corporate"/>
    <s v="United States"/>
    <x v="9"/>
    <s v="Nebraska"/>
    <n v="68025"/>
    <s v="Central"/>
    <s v="OFF-AR-10000246"/>
    <x v="0"/>
    <x v="5"/>
    <s v="Fiddle Leaf Fig"/>
    <n v="19.46"/>
    <n v="7"/>
    <m/>
    <n v="40.866"/>
    <n v="0.05"/>
    <n v="0.97300000000000009"/>
    <n v="2.1"/>
  </r>
  <r>
    <n v="23"/>
    <s v="CA-2016-137330"/>
    <d v="2016-12-09T00:00:00"/>
    <d v="2016-12-13T00:00:00"/>
    <s v="Standard Class"/>
    <s v="KB-16585"/>
    <s v="Ken Black"/>
    <s v="Corporate"/>
    <s v="United States"/>
    <x v="9"/>
    <s v="Nebraska"/>
    <n v="68025"/>
    <s v="Central"/>
    <s v="OFF-AP-10001492"/>
    <x v="0"/>
    <x v="4"/>
    <s v="Areca Palm"/>
    <n v="60.34"/>
    <n v="7"/>
    <m/>
    <n v="126.714"/>
    <n v="0.05"/>
    <n v="3.0170000000000003"/>
    <n v="2.0999999999999996"/>
  </r>
  <r>
    <n v="24"/>
    <s v="US-2017-156909"/>
    <d v="2017-07-16T00:00:00"/>
    <d v="2017-07-18T00:00:00"/>
    <s v="Second Class"/>
    <s v="SF-20065"/>
    <s v="Sandra Flanagan"/>
    <s v="Consumer"/>
    <s v="United States"/>
    <x v="10"/>
    <s v="Pennsylvania"/>
    <n v="19140"/>
    <s v="East"/>
    <s v="FUR-CH-10002774"/>
    <x v="0"/>
    <x v="6"/>
    <s v="Boston Fern"/>
    <n v="71.371999999999986"/>
    <n v="2"/>
    <m/>
    <n v="42.823199999999993"/>
    <n v="0"/>
    <n v="0"/>
    <n v="0.6"/>
  </r>
  <r>
    <n v="25"/>
    <s v="CA-2015-106320"/>
    <d v="2015-09-25T00:00:00"/>
    <d v="2015-09-30T00:00:00"/>
    <s v="Standard Class"/>
    <s v="EB-13870"/>
    <s v="Emily Burns"/>
    <s v="Consumer"/>
    <s v="United States"/>
    <x v="11"/>
    <s v="Utah"/>
    <n v="84057"/>
    <s v="West"/>
    <s v="FUR-TA-10000577"/>
    <x v="0"/>
    <x v="0"/>
    <s v="Snake Plant"/>
    <n v="1044.6300000000001"/>
    <n v="3"/>
    <m/>
    <n v="940.16700000000003"/>
    <n v="0"/>
    <n v="0"/>
    <n v="0.89999999999999991"/>
  </r>
  <r>
    <n v="26"/>
    <s v="CA-2016-121755"/>
    <d v="2016-01-16T00:00:00"/>
    <d v="2016-01-20T00:00:00"/>
    <s v="Second Class"/>
    <s v="EH-13945"/>
    <s v="Eric Hoffmann"/>
    <s v="Consumer"/>
    <s v="United States"/>
    <x v="1"/>
    <s v="California"/>
    <n v="90049"/>
    <s v="West"/>
    <s v="OFF-BI-10001634"/>
    <x v="0"/>
    <x v="1"/>
    <s v="Peace Lily"/>
    <n v="11.648"/>
    <n v="2"/>
    <m/>
    <n v="6.9887999999999995"/>
    <n v="0"/>
    <n v="0"/>
    <n v="0.6"/>
  </r>
  <r>
    <n v="27"/>
    <s v="CA-2016-121755"/>
    <d v="2016-01-16T00:00:00"/>
    <d v="2016-01-20T00:00:00"/>
    <s v="Second Class"/>
    <s v="EH-13945"/>
    <s v="Eric Hoffmann"/>
    <s v="Consumer"/>
    <s v="United States"/>
    <x v="1"/>
    <s v="California"/>
    <n v="90049"/>
    <s v="West"/>
    <s v="TEC-AC-10003027"/>
    <x v="0"/>
    <x v="2"/>
    <s v="Aloe Vera"/>
    <n v="90.570000000000007"/>
    <n v="3"/>
    <m/>
    <n v="81.513000000000005"/>
    <n v="0"/>
    <n v="0"/>
    <n v="0.9"/>
  </r>
  <r>
    <n v="28"/>
    <s v="US-2015-150630"/>
    <d v="2015-09-17T00:00:00"/>
    <d v="2015-09-21T00:00:00"/>
    <s v="Standard Class"/>
    <s v="TB-21520"/>
    <s v="Tracy Blumstein"/>
    <s v="Consumer"/>
    <s v="United States"/>
    <x v="10"/>
    <s v="Pennsylvania"/>
    <n v="19140"/>
    <s v="East"/>
    <s v="FUR-BO-10004834"/>
    <x v="0"/>
    <x v="0"/>
    <s v="Spider Plant"/>
    <n v="3083.43"/>
    <n v="7"/>
    <m/>
    <n v="6475.2029999999995"/>
    <n v="0.05"/>
    <n v="154.17150000000001"/>
    <n v="2.1"/>
  </r>
  <r>
    <n v="29"/>
    <s v="US-2015-150630"/>
    <d v="2015-09-17T00:00:00"/>
    <d v="2015-09-21T00:00:00"/>
    <s v="Standard Class"/>
    <s v="TB-21520"/>
    <s v="Tracy Blumstein"/>
    <s v="Consumer"/>
    <s v="United States"/>
    <x v="10"/>
    <s v="Pennsylvania"/>
    <n v="19140"/>
    <s v="East"/>
    <s v="OFF-BI-10000474"/>
    <x v="0"/>
    <x v="3"/>
    <s v="Pothos"/>
    <n v="9.6180000000000021"/>
    <n v="2"/>
    <m/>
    <n v="5.7708000000000013"/>
    <n v="0"/>
    <n v="0"/>
    <n v="0.6"/>
  </r>
  <r>
    <n v="30"/>
    <s v="US-2015-150630"/>
    <d v="2015-09-17T00:00:00"/>
    <d v="2015-09-21T00:00:00"/>
    <s v="Standard Class"/>
    <s v="TB-21520"/>
    <s v="Tracy Blumstein"/>
    <s v="Consumer"/>
    <s v="United States"/>
    <x v="10"/>
    <s v="Pennsylvania"/>
    <n v="19140"/>
    <s v="East"/>
    <s v="FUR-FU-10004848"/>
    <x v="0"/>
    <x v="4"/>
    <s v="Monstera"/>
    <n v="124.2"/>
    <n v="3"/>
    <m/>
    <n v="111.78"/>
    <n v="0"/>
    <n v="0"/>
    <n v="0.9"/>
  </r>
  <r>
    <n v="31"/>
    <s v="US-2015-150630"/>
    <d v="2015-09-17T00:00:00"/>
    <d v="2015-09-21T00:00:00"/>
    <s v="Standard Class"/>
    <s v="TB-21520"/>
    <s v="Tracy Blumstein"/>
    <s v="Consumer"/>
    <s v="United States"/>
    <x v="10"/>
    <s v="Pennsylvania"/>
    <n v="19140"/>
    <s v="East"/>
    <s v="OFF-EN-10001509"/>
    <x v="0"/>
    <x v="0"/>
    <s v="ZZ Plant"/>
    <n v="3.2639999999999998"/>
    <n v="2"/>
    <m/>
    <n v="1.9583999999999997"/>
    <n v="0"/>
    <n v="0"/>
    <n v="0.6"/>
  </r>
  <r>
    <n v="32"/>
    <s v="US-2015-150630"/>
    <d v="2015-09-17T00:00:00"/>
    <d v="2015-09-21T00:00:00"/>
    <s v="Standard Class"/>
    <s v="TB-21520"/>
    <s v="Tracy Blumstein"/>
    <s v="Consumer"/>
    <s v="United States"/>
    <x v="10"/>
    <s v="Pennsylvania"/>
    <n v="19140"/>
    <s v="East"/>
    <s v="OFF-AR-10004042"/>
    <x v="0"/>
    <x v="0"/>
    <s v="Rubber Plant"/>
    <n v="86.304000000000002"/>
    <n v="6"/>
    <m/>
    <n v="155.34720000000002"/>
    <n v="0.05"/>
    <n v="4.3151999999999999"/>
    <n v="1.8"/>
  </r>
  <r>
    <n v="33"/>
    <s v="US-2015-150630"/>
    <d v="2015-09-17T00:00:00"/>
    <d v="2015-09-21T00:00:00"/>
    <s v="Standard Class"/>
    <s v="TB-21520"/>
    <s v="Tracy Blumstein"/>
    <s v="Consumer"/>
    <s v="United States"/>
    <x v="10"/>
    <s v="Pennsylvania"/>
    <n v="19140"/>
    <s v="East"/>
    <s v="OFF-BI-10001525"/>
    <x v="0"/>
    <x v="2"/>
    <s v="Jade Plant"/>
    <n v="6.8580000000000014"/>
    <n v="6"/>
    <m/>
    <n v="12.344400000000002"/>
    <n v="0.05"/>
    <n v="0.34290000000000009"/>
    <n v="1.7999999999999998"/>
  </r>
  <r>
    <n v="34"/>
    <s v="US-2015-150630"/>
    <d v="2015-09-17T00:00:00"/>
    <d v="2015-09-21T00:00:00"/>
    <s v="Standard Class"/>
    <s v="TB-21520"/>
    <s v="Tracy Blumstein"/>
    <s v="Consumer"/>
    <s v="United States"/>
    <x v="10"/>
    <s v="Pennsylvania"/>
    <n v="19140"/>
    <s v="East"/>
    <s v="OFF-AR-10001683"/>
    <x v="0"/>
    <x v="5"/>
    <s v="Fiddle Leaf Fig"/>
    <n v="15.76"/>
    <n v="2"/>
    <m/>
    <n v="9.4559999999999995"/>
    <n v="0"/>
    <n v="0"/>
    <n v="0.6"/>
  </r>
  <r>
    <n v="35"/>
    <s v="CA-2017-107727"/>
    <d v="2017-10-19T00:00:00"/>
    <d v="2017-10-23T00:00:00"/>
    <s v="Second Class"/>
    <s v="MA-17560"/>
    <s v="Matt Abelman"/>
    <s v="Home Office"/>
    <s v="United States"/>
    <x v="12"/>
    <s v="Texas"/>
    <n v="77095"/>
    <s v="Central"/>
    <s v="OFF-PA-10000249"/>
    <x v="0"/>
    <x v="4"/>
    <s v="Areca Palm"/>
    <n v="29.472000000000001"/>
    <n v="3"/>
    <m/>
    <n v="26.524799999999999"/>
    <n v="0"/>
    <n v="0"/>
    <n v="0.89999999999999991"/>
  </r>
  <r>
    <n v="36"/>
    <s v="CA-2016-117590"/>
    <d v="2016-12-08T00:00:00"/>
    <d v="2016-12-10T00:00:00"/>
    <s v="First Class"/>
    <s v="GH-14485"/>
    <s v="Gene Hale"/>
    <s v="Corporate"/>
    <s v="United States"/>
    <x v="13"/>
    <s v="Texas"/>
    <n v="75080"/>
    <s v="Central"/>
    <s v="TEC-PH-10004977"/>
    <x v="0"/>
    <x v="6"/>
    <s v="Boston Fern"/>
    <n v="1097.5440000000001"/>
    <n v="7"/>
    <m/>
    <n v="2304.8424"/>
    <n v="0.05"/>
    <n v="54.877200000000009"/>
    <n v="2.0999999999999996"/>
  </r>
  <r>
    <n v="37"/>
    <s v="CA-2016-117590"/>
    <d v="2016-12-08T00:00:00"/>
    <d v="2016-12-10T00:00:00"/>
    <s v="First Class"/>
    <s v="GH-14485"/>
    <s v="Gene Hale"/>
    <s v="Corporate"/>
    <s v="United States"/>
    <x v="13"/>
    <s v="Texas"/>
    <n v="75080"/>
    <s v="Central"/>
    <s v="FUR-FU-10003664"/>
    <x v="0"/>
    <x v="0"/>
    <s v="Snake Plant"/>
    <n v="190.92"/>
    <n v="5"/>
    <m/>
    <n v="286.37999999999994"/>
    <n v="0.05"/>
    <n v="9.5459999999999994"/>
    <n v="1.4999999999999998"/>
  </r>
  <r>
    <n v="38"/>
    <s v="CA-2015-117415"/>
    <d v="2015-12-27T00:00:00"/>
    <d v="2015-12-31T00:00:00"/>
    <s v="Standard Class"/>
    <s v="SN-20710"/>
    <s v="Steve Nguyen"/>
    <s v="Home Office"/>
    <s v="United States"/>
    <x v="12"/>
    <s v="Texas"/>
    <n v="77041"/>
    <s v="Central"/>
    <s v="OFF-EN-10002986"/>
    <x v="0"/>
    <x v="1"/>
    <s v="Peace Lily"/>
    <n v="113.328"/>
    <n v="9"/>
    <m/>
    <n v="305.98559999999998"/>
    <n v="0.05"/>
    <n v="5.6664000000000003"/>
    <n v="2.6999999999999997"/>
  </r>
  <r>
    <n v="39"/>
    <s v="CA-2015-117415"/>
    <d v="2015-12-27T00:00:00"/>
    <d v="2015-12-31T00:00:00"/>
    <s v="Standard Class"/>
    <s v="SN-20710"/>
    <s v="Steve Nguyen"/>
    <s v="Home Office"/>
    <s v="United States"/>
    <x v="12"/>
    <s v="Texas"/>
    <n v="77041"/>
    <s v="Central"/>
    <s v="FUR-BO-10002545"/>
    <x v="0"/>
    <x v="2"/>
    <s v="Aloe Vera"/>
    <n v="532.39919999999995"/>
    <n v="3"/>
    <m/>
    <n v="479.15927999999997"/>
    <n v="0"/>
    <n v="0"/>
    <n v="0.9"/>
  </r>
  <r>
    <n v="40"/>
    <s v="CA-2015-117415"/>
    <d v="2015-12-27T00:00:00"/>
    <d v="2015-12-31T00:00:00"/>
    <s v="Standard Class"/>
    <s v="SN-20710"/>
    <s v="Steve Nguyen"/>
    <s v="Home Office"/>
    <s v="United States"/>
    <x v="12"/>
    <s v="Texas"/>
    <n v="77041"/>
    <s v="Central"/>
    <s v="FUR-CH-10004218"/>
    <x v="0"/>
    <x v="0"/>
    <s v="Spider Plant"/>
    <n v="212.05799999999999"/>
    <n v="3"/>
    <m/>
    <n v="190.85219999999998"/>
    <n v="0"/>
    <n v="0"/>
    <n v="0.89999999999999991"/>
  </r>
  <r>
    <n v="41"/>
    <s v="CA-2015-117415"/>
    <d v="2015-12-27T00:00:00"/>
    <d v="2015-12-31T00:00:00"/>
    <s v="Standard Class"/>
    <s v="SN-20710"/>
    <s v="Steve Nguyen"/>
    <s v="Home Office"/>
    <s v="United States"/>
    <x v="12"/>
    <s v="Texas"/>
    <n v="77041"/>
    <s v="Central"/>
    <s v="TEC-PH-10000486"/>
    <x v="0"/>
    <x v="3"/>
    <s v="Pothos"/>
    <n v="371.16800000000001"/>
    <n v="4"/>
    <m/>
    <n v="445.40159999999997"/>
    <n v="0"/>
    <n v="0"/>
    <n v="1.2"/>
  </r>
  <r>
    <n v="42"/>
    <s v="CA-2017-120999"/>
    <d v="2017-09-10T00:00:00"/>
    <d v="2017-09-15T00:00:00"/>
    <s v="Standard Class"/>
    <s v="LC-16930"/>
    <s v="Linda Cazamias"/>
    <s v="Corporate"/>
    <s v="United States"/>
    <x v="14"/>
    <s v="Illinois"/>
    <n v="60540"/>
    <s v="Central"/>
    <s v="TEC-PH-10004093"/>
    <x v="0"/>
    <x v="4"/>
    <s v="Monstera"/>
    <n v="147.16800000000001"/>
    <n v="4"/>
    <m/>
    <n v="176.60159999999999"/>
    <n v="0"/>
    <n v="0"/>
    <n v="1.2"/>
  </r>
  <r>
    <n v="43"/>
    <s v="CA-2016-101343"/>
    <d v="2016-07-17T00:00:00"/>
    <d v="2016-07-22T00:00:00"/>
    <s v="Standard Class"/>
    <s v="RA-19885"/>
    <s v="Ruben Ausman"/>
    <s v="Corporate"/>
    <s v="United States"/>
    <x v="1"/>
    <s v="California"/>
    <n v="90049"/>
    <s v="West"/>
    <s v="OFF-ST-10003479"/>
    <x v="0"/>
    <x v="0"/>
    <s v="ZZ Plant"/>
    <n v="77.88"/>
    <n v="2"/>
    <m/>
    <n v="46.727999999999994"/>
    <n v="0"/>
    <n v="0"/>
    <n v="0.6"/>
  </r>
  <r>
    <n v="44"/>
    <s v="CA-2017-139619"/>
    <d v="2017-09-19T00:00:00"/>
    <d v="2017-09-23T00:00:00"/>
    <s v="Standard Class"/>
    <s v="ES-14080"/>
    <s v="Erin Smith"/>
    <s v="Corporate"/>
    <s v="United States"/>
    <x v="15"/>
    <s v="Florida"/>
    <n v="32935"/>
    <s v="South"/>
    <s v="OFF-ST-10003282"/>
    <x v="0"/>
    <x v="0"/>
    <s v="Rubber Plant"/>
    <n v="95.616"/>
    <n v="2"/>
    <m/>
    <n v="57.369599999999998"/>
    <n v="0"/>
    <n v="0"/>
    <n v="0.6"/>
  </r>
  <r>
    <n v="45"/>
    <s v="CA-2016-118255"/>
    <d v="2016-03-11T00:00:00"/>
    <d v="2016-03-13T00:00:00"/>
    <s v="First Class"/>
    <s v="ON-18715"/>
    <s v="Odella Nelson"/>
    <s v="Corporate"/>
    <s v="United States"/>
    <x v="16"/>
    <s v="Minnesota"/>
    <n v="55122"/>
    <s v="Central"/>
    <s v="TEC-AC-10000171"/>
    <x v="0"/>
    <x v="2"/>
    <s v="Jade Plant"/>
    <n v="45.98"/>
    <n v="2"/>
    <m/>
    <n v="27.587999999999997"/>
    <n v="0"/>
    <n v="0"/>
    <n v="0.6"/>
  </r>
  <r>
    <n v="46"/>
    <s v="CA-2016-118255"/>
    <d v="2016-03-11T00:00:00"/>
    <d v="2016-03-13T00:00:00"/>
    <s v="First Class"/>
    <s v="ON-18715"/>
    <s v="Odella Nelson"/>
    <s v="Corporate"/>
    <s v="United States"/>
    <x v="16"/>
    <s v="Minnesota"/>
    <n v="55122"/>
    <s v="Central"/>
    <s v="OFF-BI-10003291"/>
    <x v="0"/>
    <x v="5"/>
    <s v="Fiddle Leaf Fig"/>
    <n v="17.46"/>
    <n v="2"/>
    <m/>
    <n v="10.476000000000001"/>
    <n v="0"/>
    <n v="0"/>
    <n v="0.6"/>
  </r>
  <r>
    <n v="47"/>
    <s v="CA-2014-146703"/>
    <d v="2014-10-20T00:00:00"/>
    <d v="2014-10-25T00:00:00"/>
    <s v="Second Class"/>
    <s v="PO-18865"/>
    <s v="Patrick O'Donnell"/>
    <s v="Consumer"/>
    <s v="United States"/>
    <x v="17"/>
    <s v="Michigan"/>
    <n v="48185"/>
    <s v="Central"/>
    <s v="OFF-ST-10001713"/>
    <x v="0"/>
    <x v="4"/>
    <s v="Areca Palm"/>
    <n v="211.96"/>
    <n v="4"/>
    <m/>
    <n v="254.352"/>
    <n v="0"/>
    <n v="0"/>
    <n v="1.2"/>
  </r>
  <r>
    <n v="48"/>
    <s v="CA-2016-169194"/>
    <d v="2016-06-20T00:00:00"/>
    <d v="2016-06-25T00:00:00"/>
    <s v="Standard Class"/>
    <s v="LH-16900"/>
    <s v="Lena Hernandez"/>
    <s v="Consumer"/>
    <s v="United States"/>
    <x v="18"/>
    <s v="Delaware"/>
    <n v="19901"/>
    <s v="East"/>
    <s v="TEC-AC-10002167"/>
    <x v="0"/>
    <x v="6"/>
    <s v="Boston Fern"/>
    <n v="45"/>
    <n v="3"/>
    <m/>
    <n v="40.5"/>
    <n v="0"/>
    <n v="0"/>
    <n v="0.9"/>
  </r>
  <r>
    <n v="49"/>
    <s v="CA-2016-169194"/>
    <d v="2016-06-20T00:00:00"/>
    <d v="2016-06-25T00:00:00"/>
    <s v="Standard Class"/>
    <s v="LH-16900"/>
    <s v="Lena Hernandez"/>
    <s v="Consumer"/>
    <s v="United States"/>
    <x v="18"/>
    <s v="Delaware"/>
    <n v="19901"/>
    <s v="East"/>
    <s v="TEC-PH-10003988"/>
    <x v="0"/>
    <x v="0"/>
    <s v="Snake Plant"/>
    <n v="21.8"/>
    <n v="2"/>
    <m/>
    <n v="13.08"/>
    <n v="0"/>
    <n v="0"/>
    <n v="0.6"/>
  </r>
  <r>
    <n v="50"/>
    <s v="CA-2015-115742"/>
    <d v="2015-04-18T00:00:00"/>
    <d v="2015-04-22T00:00:00"/>
    <s v="Standard Class"/>
    <s v="DP-13000"/>
    <s v="Darren Powers"/>
    <s v="Consumer"/>
    <s v="United States"/>
    <x v="19"/>
    <s v="Indiana"/>
    <n v="47150"/>
    <s v="Central"/>
    <s v="OFF-BI-10004410"/>
    <x v="0"/>
    <x v="1"/>
    <s v="Peace Lily"/>
    <n v="38.22"/>
    <n v="6"/>
    <m/>
    <n v="68.795999999999992"/>
    <n v="0.05"/>
    <n v="1.911"/>
    <n v="1.7999999999999998"/>
  </r>
  <r>
    <n v="51"/>
    <s v="CA-2015-115742"/>
    <d v="2015-04-18T00:00:00"/>
    <d v="2015-04-22T00:00:00"/>
    <s v="Standard Class"/>
    <s v="DP-13000"/>
    <s v="Darren Powers"/>
    <s v="Consumer"/>
    <s v="United States"/>
    <x v="19"/>
    <s v="Indiana"/>
    <n v="47150"/>
    <s v="Central"/>
    <s v="OFF-LA-10002762"/>
    <x v="0"/>
    <x v="2"/>
    <s v="Aloe Vera"/>
    <n v="75.179999999999993"/>
    <n v="6"/>
    <m/>
    <n v="135.32399999999998"/>
    <n v="0.05"/>
    <n v="3.7589999999999999"/>
    <n v="1.8"/>
  </r>
  <r>
    <n v="52"/>
    <s v="CA-2015-115742"/>
    <d v="2015-04-18T00:00:00"/>
    <d v="2015-04-22T00:00:00"/>
    <s v="Standard Class"/>
    <s v="DP-13000"/>
    <s v="Darren Powers"/>
    <s v="Consumer"/>
    <s v="United States"/>
    <x v="19"/>
    <s v="Indiana"/>
    <n v="47150"/>
    <s v="Central"/>
    <s v="FUR-FU-10001706"/>
    <x v="0"/>
    <x v="0"/>
    <s v="Spider Plant"/>
    <n v="6.16"/>
    <n v="2"/>
    <m/>
    <n v="3.6959999999999997"/>
    <n v="0"/>
    <n v="0"/>
    <n v="0.6"/>
  </r>
  <r>
    <n v="53"/>
    <s v="CA-2015-115742"/>
    <d v="2015-04-18T00:00:00"/>
    <d v="2015-04-22T00:00:00"/>
    <s v="Standard Class"/>
    <s v="DP-13000"/>
    <s v="Darren Powers"/>
    <s v="Consumer"/>
    <s v="United States"/>
    <x v="19"/>
    <s v="Indiana"/>
    <n v="47150"/>
    <s v="Central"/>
    <s v="FUR-CH-10003061"/>
    <x v="0"/>
    <x v="3"/>
    <s v="Pothos"/>
    <n v="89.99"/>
    <n v="1"/>
    <m/>
    <n v="26.996999999999996"/>
    <n v="0"/>
    <n v="0"/>
    <n v="0.3"/>
  </r>
  <r>
    <n v="54"/>
    <s v="CA-2016-105816"/>
    <d v="2016-12-11T00:00:00"/>
    <d v="2016-12-17T00:00:00"/>
    <s v="Standard Class"/>
    <s v="JM-15265"/>
    <s v="Janet Molinari"/>
    <s v="Corporate"/>
    <s v="United States"/>
    <x v="20"/>
    <s v="New York"/>
    <n v="10024"/>
    <s v="East"/>
    <s v="OFF-FA-10000304"/>
    <x v="0"/>
    <x v="4"/>
    <s v="Monstera"/>
    <n v="15.26"/>
    <n v="7"/>
    <m/>
    <n v="32.045999999999999"/>
    <n v="0.05"/>
    <n v="0.76300000000000001"/>
    <n v="2.1"/>
  </r>
  <r>
    <n v="55"/>
    <s v="CA-2016-105816"/>
    <d v="2016-12-11T00:00:00"/>
    <d v="2016-12-17T00:00:00"/>
    <s v="Standard Class"/>
    <s v="JM-15265"/>
    <s v="Janet Molinari"/>
    <s v="Corporate"/>
    <s v="United States"/>
    <x v="20"/>
    <s v="New York"/>
    <n v="10024"/>
    <s v="East"/>
    <s v="TEC-PH-10002447"/>
    <x v="0"/>
    <x v="0"/>
    <s v="ZZ Plant"/>
    <n v="1029.95"/>
    <n v="5"/>
    <m/>
    <n v="1544.925"/>
    <n v="0.05"/>
    <n v="51.497500000000002"/>
    <n v="1.5"/>
  </r>
  <r>
    <n v="56"/>
    <s v="CA-2016-111682"/>
    <d v="2016-06-17T00:00:00"/>
    <d v="2016-06-18T00:00:00"/>
    <s v="First Class"/>
    <s v="TB-21055"/>
    <s v="Ted Butterfield"/>
    <s v="Consumer"/>
    <s v="United States"/>
    <x v="21"/>
    <s v="New York"/>
    <n v="12180"/>
    <s v="East"/>
    <s v="OFF-ST-10000604"/>
    <x v="0"/>
    <x v="0"/>
    <s v="Rubber Plant"/>
    <n v="208.56"/>
    <n v="6"/>
    <m/>
    <n v="375.40800000000002"/>
    <n v="0.05"/>
    <n v="10.428000000000001"/>
    <n v="1.8"/>
  </r>
  <r>
    <n v="57"/>
    <s v="CA-2016-111682"/>
    <d v="2016-06-17T00:00:00"/>
    <d v="2016-06-18T00:00:00"/>
    <s v="First Class"/>
    <s v="TB-21055"/>
    <s v="Ted Butterfield"/>
    <s v="Consumer"/>
    <s v="United States"/>
    <x v="21"/>
    <s v="New York"/>
    <n v="12180"/>
    <s v="East"/>
    <s v="OFF-PA-10001569"/>
    <x v="0"/>
    <x v="2"/>
    <s v="Jade Plant"/>
    <n v="32.400000000000013"/>
    <n v="5"/>
    <m/>
    <n v="48.600000000000016"/>
    <n v="0.05"/>
    <n v="1.6200000000000008"/>
    <n v="1.5"/>
  </r>
  <r>
    <n v="58"/>
    <s v="CA-2016-111682"/>
    <d v="2016-06-17T00:00:00"/>
    <d v="2016-06-18T00:00:00"/>
    <s v="First Class"/>
    <s v="TB-21055"/>
    <s v="Ted Butterfield"/>
    <s v="Consumer"/>
    <s v="United States"/>
    <x v="21"/>
    <s v="New York"/>
    <n v="12180"/>
    <s v="East"/>
    <s v="FUR-CH-10003968"/>
    <x v="0"/>
    <x v="5"/>
    <s v="Fiddle Leaf Fig"/>
    <n v="319.41000000000003"/>
    <n v="5"/>
    <m/>
    <n v="479.11500000000001"/>
    <n v="0.05"/>
    <n v="15.970500000000001"/>
    <n v="1.5"/>
  </r>
  <r>
    <n v="59"/>
    <s v="CA-2016-111682"/>
    <d v="2016-06-17T00:00:00"/>
    <d v="2016-06-18T00:00:00"/>
    <s v="First Class"/>
    <s v="TB-21055"/>
    <s v="Ted Butterfield"/>
    <s v="Consumer"/>
    <s v="United States"/>
    <x v="21"/>
    <s v="New York"/>
    <n v="12180"/>
    <s v="East"/>
    <s v="OFF-PA-10000587"/>
    <x v="0"/>
    <x v="4"/>
    <s v="Areca Palm"/>
    <n v="14.56"/>
    <n v="2"/>
    <m/>
    <n v="8.7360000000000007"/>
    <n v="0"/>
    <n v="0"/>
    <n v="0.6"/>
  </r>
  <r>
    <n v="60"/>
    <s v="CA-2016-111682"/>
    <d v="2016-06-17T00:00:00"/>
    <d v="2016-06-18T00:00:00"/>
    <s v="First Class"/>
    <s v="TB-21055"/>
    <s v="Ted Butterfield"/>
    <s v="Consumer"/>
    <s v="United States"/>
    <x v="21"/>
    <s v="New York"/>
    <n v="12180"/>
    <s v="East"/>
    <s v="TEC-AC-10002167"/>
    <x v="0"/>
    <x v="6"/>
    <s v="Boston Fern"/>
    <n v="30"/>
    <n v="2"/>
    <m/>
    <n v="18"/>
    <n v="0"/>
    <n v="0"/>
    <n v="0.6"/>
  </r>
  <r>
    <n v="61"/>
    <s v="CA-2016-111682"/>
    <d v="2016-06-17T00:00:00"/>
    <d v="2016-06-18T00:00:00"/>
    <s v="First Class"/>
    <s v="TB-21055"/>
    <s v="Ted Butterfield"/>
    <s v="Consumer"/>
    <s v="United States"/>
    <x v="21"/>
    <s v="New York"/>
    <n v="12180"/>
    <s v="East"/>
    <s v="OFF-BI-10001460"/>
    <x v="0"/>
    <x v="0"/>
    <s v="Snake Plant"/>
    <n v="48.48"/>
    <n v="4"/>
    <m/>
    <n v="58.175999999999995"/>
    <n v="0"/>
    <n v="0"/>
    <n v="1.2"/>
  </r>
  <r>
    <n v="62"/>
    <s v="CA-2016-111682"/>
    <d v="2016-06-17T00:00:00"/>
    <d v="2016-06-18T00:00:00"/>
    <s v="First Class"/>
    <s v="TB-21055"/>
    <s v="Ted Butterfield"/>
    <s v="Consumer"/>
    <s v="United States"/>
    <x v="21"/>
    <s v="New York"/>
    <n v="12180"/>
    <s v="East"/>
    <s v="OFF-AR-10001868"/>
    <x v="0"/>
    <x v="1"/>
    <s v="Peace Lily"/>
    <n v="1.68"/>
    <n v="1"/>
    <m/>
    <n v="0.504"/>
    <n v="0"/>
    <n v="0"/>
    <n v="0.3"/>
  </r>
  <r>
    <n v="63"/>
    <s v="CA-2015-135545"/>
    <d v="2015-11-24T00:00:00"/>
    <d v="2015-11-30T00:00:00"/>
    <s v="Standard Class"/>
    <s v="KM-16720"/>
    <s v="Kunst Miller"/>
    <s v="Consumer"/>
    <s v="United States"/>
    <x v="1"/>
    <s v="California"/>
    <n v="90004"/>
    <s v="West"/>
    <s v="TEC-AC-10004633"/>
    <x v="0"/>
    <x v="2"/>
    <s v="Aloe Vera"/>
    <n v="13.98"/>
    <n v="2"/>
    <m/>
    <n v="8.3879999999999999"/>
    <n v="0"/>
    <n v="0"/>
    <n v="0.6"/>
  </r>
  <r>
    <n v="64"/>
    <s v="CA-2015-135545"/>
    <d v="2015-11-24T00:00:00"/>
    <d v="2015-11-30T00:00:00"/>
    <s v="Standard Class"/>
    <s v="KM-16720"/>
    <s v="Kunst Miller"/>
    <s v="Consumer"/>
    <s v="United States"/>
    <x v="1"/>
    <s v="California"/>
    <n v="90004"/>
    <s v="West"/>
    <s v="OFF-BI-10001078"/>
    <x v="0"/>
    <x v="0"/>
    <s v="Spider Plant"/>
    <n v="25.824000000000002"/>
    <n v="6"/>
    <m/>
    <n v="46.483200000000004"/>
    <n v="0.05"/>
    <n v="1.2912000000000001"/>
    <n v="1.8"/>
  </r>
  <r>
    <n v="65"/>
    <s v="CA-2015-135545"/>
    <d v="2015-11-24T00:00:00"/>
    <d v="2015-11-30T00:00:00"/>
    <s v="Standard Class"/>
    <s v="KM-16720"/>
    <s v="Kunst Miller"/>
    <s v="Consumer"/>
    <s v="United States"/>
    <x v="1"/>
    <s v="California"/>
    <n v="90004"/>
    <s v="West"/>
    <s v="OFF-PA-10003892"/>
    <x v="0"/>
    <x v="3"/>
    <s v="Pothos"/>
    <n v="146.72999999999999"/>
    <n v="3"/>
    <m/>
    <n v="132.05699999999999"/>
    <n v="0"/>
    <n v="0"/>
    <n v="0.9"/>
  </r>
  <r>
    <n v="66"/>
    <s v="CA-2015-135545"/>
    <d v="2015-11-24T00:00:00"/>
    <d v="2015-11-30T00:00:00"/>
    <s v="Standard Class"/>
    <s v="KM-16720"/>
    <s v="Kunst Miller"/>
    <s v="Consumer"/>
    <s v="United States"/>
    <x v="1"/>
    <s v="California"/>
    <n v="90004"/>
    <s v="West"/>
    <s v="FUR-FU-10000397"/>
    <x v="0"/>
    <x v="4"/>
    <s v="Monstera"/>
    <n v="79.760000000000005"/>
    <n v="4"/>
    <m/>
    <n v="95.712000000000003"/>
    <n v="0"/>
    <n v="0"/>
    <n v="1.2"/>
  </r>
  <r>
    <n v="67"/>
    <s v="US-2015-164175"/>
    <d v="2015-04-30T00:00:00"/>
    <d v="2015-05-05T00:00:00"/>
    <s v="Standard Class"/>
    <s v="PS-18970"/>
    <s v="Paul Stevenson"/>
    <s v="Home Office"/>
    <s v="United States"/>
    <x v="22"/>
    <s v="Illinois"/>
    <n v="60610"/>
    <s v="Central"/>
    <s v="FUR-CH-10001146"/>
    <x v="0"/>
    <x v="0"/>
    <s v="ZZ Plant"/>
    <n v="213.11500000000001"/>
    <n v="5"/>
    <m/>
    <n v="319.67250000000001"/>
    <n v="0.05"/>
    <n v="10.655750000000001"/>
    <n v="1.5"/>
  </r>
  <r>
    <n v="68"/>
    <s v="CA-2014-106376"/>
    <d v="2014-12-05T00:00:00"/>
    <d v="2014-12-10T00:00:00"/>
    <s v="Standard Class"/>
    <s v="BS-11590"/>
    <s v="Brendan Sweed"/>
    <s v="Corporate"/>
    <s v="United States"/>
    <x v="23"/>
    <s v="Arizona"/>
    <n v="85234"/>
    <s v="West"/>
    <s v="OFF-AR-10002671"/>
    <x v="0"/>
    <x v="0"/>
    <s v="Rubber Plant"/>
    <n v="1113.0239999999999"/>
    <n v="8"/>
    <m/>
    <n v="2671.2575999999995"/>
    <n v="0.05"/>
    <n v="55.651199999999996"/>
    <n v="2.4"/>
  </r>
  <r>
    <n v="69"/>
    <s v="CA-2014-106376"/>
    <d v="2014-12-05T00:00:00"/>
    <d v="2014-12-10T00:00:00"/>
    <s v="Standard Class"/>
    <s v="BS-11590"/>
    <s v="Brendan Sweed"/>
    <s v="Corporate"/>
    <s v="United States"/>
    <x v="23"/>
    <s v="Arizona"/>
    <n v="85234"/>
    <s v="West"/>
    <s v="TEC-PH-10002726"/>
    <x v="0"/>
    <x v="2"/>
    <s v="Jade Plant"/>
    <n v="167.96799999999999"/>
    <n v="4"/>
    <m/>
    <n v="201.56159999999997"/>
    <n v="0"/>
    <n v="0"/>
    <n v="1.2"/>
  </r>
  <r>
    <n v="70"/>
    <s v="CA-2016-119823"/>
    <d v="2016-06-04T00:00:00"/>
    <d v="2016-06-06T00:00:00"/>
    <s v="First Class"/>
    <s v="KD-16270"/>
    <s v="Karen Daniels"/>
    <s v="Consumer"/>
    <s v="United States"/>
    <x v="24"/>
    <s v="Virginia"/>
    <n v="22153"/>
    <s v="South"/>
    <s v="OFF-PA-10000482"/>
    <x v="0"/>
    <x v="5"/>
    <s v="Fiddle Leaf Fig"/>
    <n v="75.88"/>
    <n v="2"/>
    <m/>
    <n v="45.527999999999999"/>
    <n v="0"/>
    <n v="0"/>
    <n v="0.6"/>
  </r>
  <r>
    <n v="71"/>
    <s v="CA-2016-106075"/>
    <d v="2016-09-18T00:00:00"/>
    <d v="2016-09-23T00:00:00"/>
    <s v="Standard Class"/>
    <s v="HM-14980"/>
    <s v="Henry MacAllister"/>
    <s v="Consumer"/>
    <s v="United States"/>
    <x v="20"/>
    <s v="New York"/>
    <n v="10009"/>
    <s v="East"/>
    <s v="OFF-BI-10004654"/>
    <x v="0"/>
    <x v="4"/>
    <s v="Areca Palm"/>
    <n v="4.6159999999999997"/>
    <n v="1"/>
    <m/>
    <n v="1.3847999999999998"/>
    <n v="0"/>
    <n v="0"/>
    <n v="0.3"/>
  </r>
  <r>
    <n v="72"/>
    <s v="CA-2017-114440"/>
    <d v="2017-09-14T00:00:00"/>
    <d v="2017-09-17T00:00:00"/>
    <s v="Second Class"/>
    <s v="TB-21520"/>
    <s v="Tracy Blumstein"/>
    <s v="Consumer"/>
    <s v="United States"/>
    <x v="25"/>
    <s v="Michigan"/>
    <n v="49201"/>
    <s v="Central"/>
    <s v="OFF-PA-10004675"/>
    <x v="0"/>
    <x v="6"/>
    <s v="Boston Fern"/>
    <n v="19.05"/>
    <n v="3"/>
    <m/>
    <n v="17.145"/>
    <n v="0"/>
    <n v="0"/>
    <n v="0.89999999999999991"/>
  </r>
  <r>
    <n v="73"/>
    <s v="US-2015-134026"/>
    <d v="2015-04-26T00:00:00"/>
    <d v="2015-05-02T00:00:00"/>
    <s v="Standard Class"/>
    <s v="JE-15745"/>
    <s v="Joel Eaton"/>
    <s v="Consumer"/>
    <s v="United States"/>
    <x v="26"/>
    <s v="Tennessee"/>
    <n v="38109"/>
    <s v="South"/>
    <s v="FUR-CH-10000513"/>
    <x v="0"/>
    <x v="0"/>
    <s v="Snake Plant"/>
    <n v="831.93600000000015"/>
    <n v="8"/>
    <m/>
    <n v="1996.6464000000003"/>
    <n v="0.05"/>
    <n v="41.596800000000009"/>
    <n v="2.4"/>
  </r>
  <r>
    <n v="74"/>
    <s v="US-2015-134026"/>
    <d v="2015-04-26T00:00:00"/>
    <d v="2015-05-02T00:00:00"/>
    <s v="Standard Class"/>
    <s v="JE-15745"/>
    <s v="Joel Eaton"/>
    <s v="Consumer"/>
    <s v="United States"/>
    <x v="26"/>
    <s v="Tennessee"/>
    <n v="38109"/>
    <s v="South"/>
    <s v="FUR-FU-10003708"/>
    <x v="0"/>
    <x v="1"/>
    <s v="Peace Lily"/>
    <n v="97.04"/>
    <n v="2"/>
    <m/>
    <n v="58.224000000000004"/>
    <n v="0"/>
    <n v="0"/>
    <n v="0.6"/>
  </r>
  <r>
    <n v="75"/>
    <s v="US-2015-134026"/>
    <d v="2015-04-26T00:00:00"/>
    <d v="2015-05-02T00:00:00"/>
    <s v="Standard Class"/>
    <s v="JE-15745"/>
    <s v="Joel Eaton"/>
    <s v="Consumer"/>
    <s v="United States"/>
    <x v="26"/>
    <s v="Tennessee"/>
    <n v="38109"/>
    <s v="South"/>
    <s v="OFF-ST-10004123"/>
    <x v="0"/>
    <x v="2"/>
    <s v="Aloe Vera"/>
    <n v="72.784000000000006"/>
    <n v="1"/>
    <m/>
    <n v="21.8352"/>
    <n v="0"/>
    <n v="0"/>
    <n v="0.3"/>
  </r>
  <r>
    <n v="76"/>
    <s v="US-2017-118038"/>
    <d v="2017-12-09T00:00:00"/>
    <d v="2017-12-11T00:00:00"/>
    <s v="First Class"/>
    <s v="KB-16600"/>
    <s v="Ken Brennan"/>
    <s v="Corporate"/>
    <s v="United States"/>
    <x v="12"/>
    <s v="Texas"/>
    <n v="77041"/>
    <s v="Central"/>
    <s v="OFF-BI-10004182"/>
    <x v="0"/>
    <x v="0"/>
    <s v="Spider Plant"/>
    <n v="1.248"/>
    <n v="3"/>
    <m/>
    <n v="1.1232"/>
    <n v="0"/>
    <n v="0"/>
    <n v="0.9"/>
  </r>
  <r>
    <n v="77"/>
    <s v="US-2017-118038"/>
    <d v="2017-12-09T00:00:00"/>
    <d v="2017-12-11T00:00:00"/>
    <s v="First Class"/>
    <s v="KB-16600"/>
    <s v="Ken Brennan"/>
    <s v="Corporate"/>
    <s v="United States"/>
    <x v="12"/>
    <s v="Texas"/>
    <n v="77041"/>
    <s v="Central"/>
    <s v="FUR-FU-10000260"/>
    <x v="0"/>
    <x v="3"/>
    <s v="Pothos"/>
    <n v="9.7080000000000002"/>
    <n v="3"/>
    <m/>
    <n v="8.7371999999999996"/>
    <n v="0"/>
    <n v="0"/>
    <n v="0.89999999999999991"/>
  </r>
  <r>
    <n v="78"/>
    <s v="US-2017-118038"/>
    <d v="2017-12-09T00:00:00"/>
    <d v="2017-12-11T00:00:00"/>
    <s v="First Class"/>
    <s v="KB-16600"/>
    <s v="Ken Brennan"/>
    <s v="Corporate"/>
    <s v="United States"/>
    <x v="12"/>
    <s v="Texas"/>
    <n v="77041"/>
    <s v="Central"/>
    <s v="OFF-ST-10000615"/>
    <x v="0"/>
    <x v="4"/>
    <s v="Monstera"/>
    <n v="27.24"/>
    <n v="3"/>
    <m/>
    <n v="24.515999999999998"/>
    <n v="0"/>
    <n v="0"/>
    <n v="0.9"/>
  </r>
  <r>
    <n v="79"/>
    <s v="US-2014-147606"/>
    <d v="2014-11-26T00:00:00"/>
    <d v="2014-12-01T00:00:00"/>
    <s v="Second Class"/>
    <s v="JE-15745"/>
    <s v="Joel Eaton"/>
    <s v="Consumer"/>
    <s v="United States"/>
    <x v="12"/>
    <s v="Texas"/>
    <n v="77070"/>
    <s v="Central"/>
    <s v="FUR-FU-10003194"/>
    <x v="0"/>
    <x v="0"/>
    <s v="ZZ Plant"/>
    <n v="19.3"/>
    <n v="5"/>
    <m/>
    <n v="28.95"/>
    <n v="0.05"/>
    <n v="0.96500000000000008"/>
    <n v="1.5"/>
  </r>
  <r>
    <n v="80"/>
    <s v="CA-2016-127208"/>
    <d v="2016-06-12T00:00:00"/>
    <d v="2016-06-15T00:00:00"/>
    <s v="First Class"/>
    <s v="SC-20770"/>
    <s v="Stewart Carmichael"/>
    <s v="Corporate"/>
    <s v="United States"/>
    <x v="27"/>
    <s v="Alabama"/>
    <n v="35601"/>
    <s v="South"/>
    <s v="OFF-AP-10002118"/>
    <x v="0"/>
    <x v="0"/>
    <s v="Rubber Plant"/>
    <n v="208.16"/>
    <n v="1"/>
    <m/>
    <n v="62.447999999999993"/>
    <n v="0"/>
    <n v="0"/>
    <n v="0.3"/>
  </r>
  <r>
    <n v="81"/>
    <s v="CA-2016-127208"/>
    <d v="2016-06-12T00:00:00"/>
    <d v="2016-06-15T00:00:00"/>
    <s v="First Class"/>
    <s v="SC-20770"/>
    <s v="Stewart Carmichael"/>
    <s v="Corporate"/>
    <s v="United States"/>
    <x v="27"/>
    <s v="Alabama"/>
    <n v="35601"/>
    <s v="South"/>
    <s v="OFF-BI-10002309"/>
    <x v="0"/>
    <x v="2"/>
    <s v="Jade Plant"/>
    <n v="16.739999999999998"/>
    <n v="3"/>
    <m/>
    <n v="15.065999999999999"/>
    <n v="0"/>
    <n v="0"/>
    <n v="0.9"/>
  </r>
  <r>
    <n v="82"/>
    <s v="CA-2014-139451"/>
    <d v="2014-10-12T00:00:00"/>
    <d v="2014-10-16T00:00:00"/>
    <s v="Standard Class"/>
    <s v="DN-13690"/>
    <s v="Duane Noonan"/>
    <s v="Consumer"/>
    <s v="United States"/>
    <x v="8"/>
    <s v="California"/>
    <n v="94122"/>
    <s v="West"/>
    <s v="OFF-AR-10002053"/>
    <x v="0"/>
    <x v="5"/>
    <s v="Fiddle Leaf Fig"/>
    <n v="14.9"/>
    <n v="5"/>
    <m/>
    <n v="22.349999999999998"/>
    <n v="0.05"/>
    <n v="0.74500000000000011"/>
    <n v="1.4999999999999998"/>
  </r>
  <r>
    <n v="83"/>
    <s v="CA-2014-139451"/>
    <d v="2014-10-12T00:00:00"/>
    <d v="2014-10-16T00:00:00"/>
    <s v="Standard Class"/>
    <s v="DN-13690"/>
    <s v="Duane Noonan"/>
    <s v="Consumer"/>
    <s v="United States"/>
    <x v="8"/>
    <s v="California"/>
    <n v="94122"/>
    <s v="West"/>
    <s v="OFF-ST-10002370"/>
    <x v="0"/>
    <x v="4"/>
    <s v="Areca Palm"/>
    <n v="21.39"/>
    <n v="1"/>
    <m/>
    <n v="6.4169999999999998"/>
    <n v="0"/>
    <n v="0"/>
    <n v="0.3"/>
  </r>
  <r>
    <n v="84"/>
    <s v="CA-2015-149734"/>
    <d v="2015-09-03T00:00:00"/>
    <d v="2015-09-08T00:00:00"/>
    <s v="Standard Class"/>
    <s v="JC-16105"/>
    <s v="Julie Creighton"/>
    <s v="Corporate"/>
    <s v="United States"/>
    <x v="28"/>
    <s v="North Carolina"/>
    <n v="27707"/>
    <s v="South"/>
    <s v="OFF-EN-10000927"/>
    <x v="0"/>
    <x v="6"/>
    <s v="Boston Fern"/>
    <n v="200.98400000000001"/>
    <n v="7"/>
    <m/>
    <n v="422.06640000000004"/>
    <n v="0.05"/>
    <n v="10.049200000000001"/>
    <n v="2.1"/>
  </r>
  <r>
    <n v="85"/>
    <s v="US-2017-119662"/>
    <d v="2017-11-13T00:00:00"/>
    <d v="2017-11-16T00:00:00"/>
    <s v="First Class"/>
    <s v="CS-12400"/>
    <s v="Christopher Schild"/>
    <s v="Home Office"/>
    <s v="United States"/>
    <x v="22"/>
    <s v="Illinois"/>
    <n v="60623"/>
    <s v="Central"/>
    <s v="OFF-ST-10003656"/>
    <x v="0"/>
    <x v="0"/>
    <s v="Snake Plant"/>
    <n v="230.376"/>
    <n v="3"/>
    <m/>
    <n v="207.33840000000001"/>
    <n v="0"/>
    <n v="0"/>
    <n v="0.9"/>
  </r>
  <r>
    <n v="86"/>
    <s v="CA-2017-140088"/>
    <d v="2017-05-28T00:00:00"/>
    <d v="2017-05-30T00:00:00"/>
    <s v="Second Class"/>
    <s v="PO-18865"/>
    <s v="Patrick O'Donnell"/>
    <s v="Consumer"/>
    <s v="United States"/>
    <x v="29"/>
    <s v="South Carolina"/>
    <n v="29203"/>
    <s v="South"/>
    <s v="FUR-CH-10000863"/>
    <x v="0"/>
    <x v="1"/>
    <s v="Peace Lily"/>
    <n v="301.95999999999998"/>
    <n v="2"/>
    <m/>
    <n v="181.17599999999999"/>
    <n v="0"/>
    <n v="0"/>
    <n v="0.6"/>
  </r>
  <r>
    <n v="87"/>
    <s v="CA-2017-155558"/>
    <d v="2017-10-26T00:00:00"/>
    <d v="2017-11-02T00:00:00"/>
    <s v="Standard Class"/>
    <s v="PG-18895"/>
    <s v="Paul Gonzalez"/>
    <s v="Consumer"/>
    <s v="United States"/>
    <x v="30"/>
    <s v="Minnesota"/>
    <n v="55901"/>
    <s v="Central"/>
    <s v="TEC-AC-10001998"/>
    <x v="0"/>
    <x v="2"/>
    <s v="Aloe Vera"/>
    <n v="19.989999999999998"/>
    <n v="1"/>
    <m/>
    <n v="5.996999999999999"/>
    <n v="0"/>
    <n v="0"/>
    <n v="0.3"/>
  </r>
  <r>
    <n v="88"/>
    <s v="CA-2017-155558"/>
    <d v="2017-10-26T00:00:00"/>
    <d v="2017-11-02T00:00:00"/>
    <s v="Standard Class"/>
    <s v="PG-18895"/>
    <s v="Paul Gonzalez"/>
    <s v="Consumer"/>
    <s v="United States"/>
    <x v="30"/>
    <s v="Minnesota"/>
    <n v="55901"/>
    <s v="Central"/>
    <s v="OFF-LA-10000134"/>
    <x v="0"/>
    <x v="0"/>
    <s v="Spider Plant"/>
    <n v="6.16"/>
    <n v="2"/>
    <m/>
    <n v="3.6959999999999997"/>
    <n v="0"/>
    <n v="0"/>
    <n v="0.6"/>
  </r>
  <r>
    <n v="89"/>
    <s v="CA-2016-159695"/>
    <d v="2016-04-05T00:00:00"/>
    <d v="2016-04-10T00:00:00"/>
    <s v="Second Class"/>
    <s v="GM-14455"/>
    <s v="Gary Mitchum"/>
    <s v="Home Office"/>
    <s v="United States"/>
    <x v="12"/>
    <s v="Texas"/>
    <n v="77095"/>
    <s v="Central"/>
    <s v="OFF-ST-10003442"/>
    <x v="0"/>
    <x v="3"/>
    <s v="Pothos"/>
    <n v="158.36799999999999"/>
    <n v="7"/>
    <m/>
    <n v="332.57279999999997"/>
    <n v="0.05"/>
    <n v="7.9184000000000001"/>
    <n v="2.1"/>
  </r>
  <r>
    <n v="90"/>
    <s v="CA-2016-109806"/>
    <d v="2016-09-17T00:00:00"/>
    <d v="2016-09-22T00:00:00"/>
    <s v="Standard Class"/>
    <s v="JS-15685"/>
    <s v="Jim Sink"/>
    <s v="Corporate"/>
    <s v="United States"/>
    <x v="1"/>
    <s v="California"/>
    <n v="90036"/>
    <s v="West"/>
    <s v="OFF-AR-10004930"/>
    <x v="0"/>
    <x v="4"/>
    <s v="Monstera"/>
    <n v="20.100000000000001"/>
    <n v="3"/>
    <m/>
    <n v="18.09"/>
    <n v="0"/>
    <n v="0"/>
    <n v="0.89999999999999991"/>
  </r>
  <r>
    <n v="91"/>
    <s v="CA-2016-109806"/>
    <d v="2016-09-17T00:00:00"/>
    <d v="2016-09-22T00:00:00"/>
    <s v="Standard Class"/>
    <s v="JS-15685"/>
    <s v="Jim Sink"/>
    <s v="Corporate"/>
    <s v="United States"/>
    <x v="1"/>
    <s v="California"/>
    <n v="90036"/>
    <s v="West"/>
    <s v="TEC-PH-10004093"/>
    <x v="0"/>
    <x v="0"/>
    <s v="ZZ Plant"/>
    <n v="73.584000000000003"/>
    <n v="2"/>
    <m/>
    <n v="44.150399999999998"/>
    <n v="0"/>
    <n v="0"/>
    <n v="0.6"/>
  </r>
  <r>
    <n v="92"/>
    <s v="CA-2016-109806"/>
    <d v="2016-09-17T00:00:00"/>
    <d v="2016-09-22T00:00:00"/>
    <s v="Standard Class"/>
    <s v="JS-15685"/>
    <s v="Jim Sink"/>
    <s v="Corporate"/>
    <s v="United States"/>
    <x v="1"/>
    <s v="California"/>
    <n v="90036"/>
    <s v="West"/>
    <s v="OFF-PA-10000304"/>
    <x v="0"/>
    <x v="0"/>
    <s v="Rubber Plant"/>
    <n v="6.48"/>
    <n v="1"/>
    <m/>
    <n v="1.944"/>
    <n v="0"/>
    <n v="0"/>
    <n v="0.3"/>
  </r>
  <r>
    <n v="93"/>
    <s v="CA-2015-149587"/>
    <d v="2015-01-31T00:00:00"/>
    <d v="2015-02-05T00:00:00"/>
    <s v="Second Class"/>
    <s v="KB-16315"/>
    <s v="Karl Braun"/>
    <s v="Consumer"/>
    <s v="United States"/>
    <x v="31"/>
    <s v="Minnesota"/>
    <n v="55407"/>
    <s v="Central"/>
    <s v="OFF-PA-10003177"/>
    <x v="0"/>
    <x v="2"/>
    <s v="Jade Plant"/>
    <n v="12.96"/>
    <n v="2"/>
    <m/>
    <n v="7.7759999999999998"/>
    <n v="0"/>
    <n v="0"/>
    <n v="0.6"/>
  </r>
  <r>
    <n v="94"/>
    <s v="CA-2015-149587"/>
    <d v="2015-01-31T00:00:00"/>
    <d v="2015-02-05T00:00:00"/>
    <s v="Second Class"/>
    <s v="KB-16315"/>
    <s v="Karl Braun"/>
    <s v="Consumer"/>
    <s v="United States"/>
    <x v="31"/>
    <s v="Minnesota"/>
    <n v="55407"/>
    <s v="Central"/>
    <s v="FUR-FU-10003799"/>
    <x v="0"/>
    <x v="5"/>
    <s v="Fiddle Leaf Fig"/>
    <n v="53.34"/>
    <n v="3"/>
    <m/>
    <n v="48.006"/>
    <n v="0"/>
    <n v="0"/>
    <n v="0.89999999999999991"/>
  </r>
  <r>
    <n v="95"/>
    <s v="CA-2015-149587"/>
    <d v="2015-01-31T00:00:00"/>
    <d v="2015-02-05T00:00:00"/>
    <s v="Second Class"/>
    <s v="KB-16315"/>
    <s v="Karl Braun"/>
    <s v="Consumer"/>
    <s v="United States"/>
    <x v="31"/>
    <s v="Minnesota"/>
    <n v="55407"/>
    <s v="Central"/>
    <s v="OFF-BI-10002852"/>
    <x v="0"/>
    <x v="4"/>
    <s v="Areca Palm"/>
    <n v="32.96"/>
    <n v="2"/>
    <m/>
    <n v="19.776"/>
    <n v="0"/>
    <n v="0"/>
    <n v="0.6"/>
  </r>
  <r>
    <n v="96"/>
    <s v="US-2017-109484"/>
    <d v="2017-11-06T00:00:00"/>
    <d v="2017-11-12T00:00:00"/>
    <s v="Standard Class"/>
    <s v="RB-19705"/>
    <s v="Roger Barcio"/>
    <s v="Home Office"/>
    <s v="United States"/>
    <x v="32"/>
    <s v="Oregon"/>
    <n v="97206"/>
    <s v="West"/>
    <s v="OFF-BI-10004738"/>
    <x v="0"/>
    <x v="6"/>
    <s v="Boston Fern"/>
    <n v="5.6820000000000013"/>
    <n v="1"/>
    <m/>
    <n v="1.7046000000000003"/>
    <n v="0"/>
    <n v="0"/>
    <n v="0.3"/>
  </r>
  <r>
    <n v="97"/>
    <s v="CA-2017-161018"/>
    <d v="2017-11-09T00:00:00"/>
    <d v="2017-11-11T00:00:00"/>
    <s v="Second Class"/>
    <s v="PN-18775"/>
    <s v="Parhena Norris"/>
    <s v="Home Office"/>
    <s v="United States"/>
    <x v="20"/>
    <s v="New York"/>
    <n v="10009"/>
    <s v="East"/>
    <s v="FUR-FU-10000629"/>
    <x v="0"/>
    <x v="0"/>
    <s v="Snake Plant"/>
    <n v="96.53"/>
    <n v="7"/>
    <m/>
    <n v="202.71299999999999"/>
    <n v="0.05"/>
    <n v="4.8265000000000002"/>
    <n v="2.1"/>
  </r>
  <r>
    <n v="98"/>
    <s v="CA-2017-157833"/>
    <d v="2017-06-17T00:00:00"/>
    <d v="2017-06-20T00:00:00"/>
    <s v="First Class"/>
    <s v="KD-16345"/>
    <s v="Katherine Ducich"/>
    <s v="Consumer"/>
    <s v="United States"/>
    <x v="8"/>
    <s v="California"/>
    <n v="94122"/>
    <s v="West"/>
    <s v="OFF-BI-10001721"/>
    <x v="0"/>
    <x v="1"/>
    <s v="Peace Lily"/>
    <n v="51.311999999999998"/>
    <n v="3"/>
    <m/>
    <n v="46.180799999999991"/>
    <n v="0"/>
    <n v="0"/>
    <n v="0.89999999999999991"/>
  </r>
  <r>
    <n v="99"/>
    <s v="CA-2016-149223"/>
    <d v="2016-09-06T00:00:00"/>
    <d v="2016-09-11T00:00:00"/>
    <s v="Standard Class"/>
    <s v="ER-13855"/>
    <s v="Elpida Rittenbach"/>
    <s v="Corporate"/>
    <s v="United States"/>
    <x v="33"/>
    <s v="Minnesota"/>
    <n v="55106"/>
    <s v="Central"/>
    <s v="OFF-AP-10000358"/>
    <x v="0"/>
    <x v="2"/>
    <s v="Aloe Vera"/>
    <n v="77.88"/>
    <n v="6"/>
    <m/>
    <n v="140.184"/>
    <n v="0.05"/>
    <n v="3.8940000000000001"/>
    <n v="1.8"/>
  </r>
  <r>
    <n v="100"/>
    <s v="CA-2016-158568"/>
    <d v="2016-08-29T00:00:00"/>
    <d v="2016-09-02T00:00:00"/>
    <s v="Standard Class"/>
    <s v="RB-19465"/>
    <s v="Rick Bensley"/>
    <s v="Home Office"/>
    <s v="United States"/>
    <x v="22"/>
    <s v="Illinois"/>
    <n v="60610"/>
    <s v="Central"/>
    <s v="OFF-PA-10003256"/>
    <x v="0"/>
    <x v="0"/>
    <s v="Spider Plant"/>
    <n v="64.623999999999995"/>
    <n v="7"/>
    <m/>
    <n v="135.71039999999996"/>
    <n v="0.05"/>
    <n v="3.2311999999999999"/>
    <n v="2.0999999999999996"/>
  </r>
  <r>
    <n v="101"/>
    <s v="CA-2016-158568"/>
    <d v="2016-08-29T00:00:00"/>
    <d v="2016-09-02T00:00:00"/>
    <s v="Standard Class"/>
    <s v="RB-19465"/>
    <s v="Rick Bensley"/>
    <s v="Home Office"/>
    <s v="United States"/>
    <x v="22"/>
    <s v="Illinois"/>
    <n v="60610"/>
    <s v="Central"/>
    <s v="TEC-AC-10001767"/>
    <x v="0"/>
    <x v="3"/>
    <s v="Pothos"/>
    <n v="95.976000000000013"/>
    <n v="3"/>
    <m/>
    <n v="86.378400000000013"/>
    <n v="0"/>
    <n v="0"/>
    <n v="0.9"/>
  </r>
  <r>
    <n v="102"/>
    <s v="CA-2016-158568"/>
    <d v="2016-08-29T00:00:00"/>
    <d v="2016-09-02T00:00:00"/>
    <s v="Standard Class"/>
    <s v="RB-19465"/>
    <s v="Rick Bensley"/>
    <s v="Home Office"/>
    <s v="United States"/>
    <x v="22"/>
    <s v="Illinois"/>
    <n v="60610"/>
    <s v="Central"/>
    <s v="OFF-BI-10002609"/>
    <x v="0"/>
    <x v="4"/>
    <s v="Monstera"/>
    <n v="1.788"/>
    <n v="3"/>
    <m/>
    <n v="1.6092"/>
    <n v="0"/>
    <n v="0"/>
    <n v="0.89999999999999991"/>
  </r>
  <r>
    <n v="103"/>
    <s v="CA-2016-129903"/>
    <d v="2016-12-01T00:00:00"/>
    <d v="2016-12-04T00:00:00"/>
    <s v="Second Class"/>
    <s v="GZ-14470"/>
    <s v="Gary Zandusky"/>
    <s v="Consumer"/>
    <s v="United States"/>
    <x v="30"/>
    <s v="Minnesota"/>
    <n v="55901"/>
    <s v="Central"/>
    <s v="OFF-PA-10004040"/>
    <x v="0"/>
    <x v="0"/>
    <s v="ZZ Plant"/>
    <n v="23.92"/>
    <n v="4"/>
    <m/>
    <n v="28.704000000000001"/>
    <n v="0"/>
    <n v="0"/>
    <n v="1.2"/>
  </r>
  <r>
    <n v="104"/>
    <s v="US-2015-156867"/>
    <d v="2015-11-13T00:00:00"/>
    <d v="2015-11-17T00:00:00"/>
    <s v="Standard Class"/>
    <s v="LC-16870"/>
    <s v="Lena Cacioppo"/>
    <s v="Consumer"/>
    <s v="United States"/>
    <x v="34"/>
    <s v="Colorado"/>
    <n v="80013"/>
    <s v="West"/>
    <s v="TEC-AC-10001552"/>
    <x v="0"/>
    <x v="0"/>
    <s v="Rubber Plant"/>
    <n v="238.89599999999999"/>
    <n v="6"/>
    <m/>
    <n v="430.01279999999997"/>
    <n v="0.05"/>
    <n v="11.944800000000001"/>
    <n v="1.8"/>
  </r>
  <r>
    <n v="105"/>
    <s v="US-2015-156867"/>
    <d v="2015-11-13T00:00:00"/>
    <d v="2015-11-17T00:00:00"/>
    <s v="Standard Class"/>
    <s v="LC-16870"/>
    <s v="Lena Cacioppo"/>
    <s v="Consumer"/>
    <s v="United States"/>
    <x v="34"/>
    <s v="Colorado"/>
    <n v="80013"/>
    <s v="West"/>
    <s v="FUR-FU-10004006"/>
    <x v="0"/>
    <x v="2"/>
    <s v="Jade Plant"/>
    <n v="102.36"/>
    <n v="3"/>
    <m/>
    <n v="92.123999999999995"/>
    <n v="0"/>
    <n v="0"/>
    <n v="0.89999999999999991"/>
  </r>
  <r>
    <n v="106"/>
    <s v="US-2015-156867"/>
    <d v="2015-11-13T00:00:00"/>
    <d v="2015-11-17T00:00:00"/>
    <s v="Standard Class"/>
    <s v="LC-16870"/>
    <s v="Lena Cacioppo"/>
    <s v="Consumer"/>
    <s v="United States"/>
    <x v="34"/>
    <s v="Colorado"/>
    <n v="80013"/>
    <s v="West"/>
    <s v="OFF-BI-10002794"/>
    <x v="0"/>
    <x v="5"/>
    <s v="Fiddle Leaf Fig"/>
    <n v="36.882000000000012"/>
    <n v="3"/>
    <m/>
    <n v="33.19380000000001"/>
    <n v="0"/>
    <n v="0"/>
    <n v="0.9"/>
  </r>
  <r>
    <n v="107"/>
    <s v="CA-2017-119004"/>
    <d v="2017-11-23T00:00:00"/>
    <d v="2017-11-28T00:00:00"/>
    <s v="Standard Class"/>
    <s v="JM-15250"/>
    <s v="Janet Martin"/>
    <s v="Consumer"/>
    <s v="United States"/>
    <x v="35"/>
    <s v="North Carolina"/>
    <n v="28205"/>
    <s v="South"/>
    <s v="TEC-AC-10003499"/>
    <x v="0"/>
    <x v="4"/>
    <s v="Areca Palm"/>
    <n v="74.112000000000009"/>
    <n v="8"/>
    <m/>
    <n v="177.86880000000002"/>
    <n v="0.05"/>
    <n v="3.7056000000000004"/>
    <n v="2.4"/>
  </r>
  <r>
    <n v="108"/>
    <s v="CA-2017-119004"/>
    <d v="2017-11-23T00:00:00"/>
    <d v="2017-11-28T00:00:00"/>
    <s v="Standard Class"/>
    <s v="JM-15250"/>
    <s v="Janet Martin"/>
    <s v="Consumer"/>
    <s v="United States"/>
    <x v="35"/>
    <s v="North Carolina"/>
    <n v="28205"/>
    <s v="South"/>
    <s v="TEC-PH-10002844"/>
    <x v="0"/>
    <x v="6"/>
    <s v="Boston Fern"/>
    <n v="27.992000000000001"/>
    <n v="1"/>
    <m/>
    <n v="8.3976000000000006"/>
    <n v="0"/>
    <n v="0"/>
    <n v="0.3"/>
  </r>
  <r>
    <n v="109"/>
    <s v="CA-2017-119004"/>
    <d v="2017-11-23T00:00:00"/>
    <d v="2017-11-28T00:00:00"/>
    <s v="Standard Class"/>
    <s v="JM-15250"/>
    <s v="Janet Martin"/>
    <s v="Consumer"/>
    <s v="United States"/>
    <x v="35"/>
    <s v="North Carolina"/>
    <n v="28205"/>
    <s v="South"/>
    <s v="OFF-AR-10000390"/>
    <x v="0"/>
    <x v="0"/>
    <s v="Snake Plant"/>
    <n v="3.3039999999999998"/>
    <n v="1"/>
    <m/>
    <n v="0.99119999999999986"/>
    <n v="0"/>
    <n v="0"/>
    <n v="0.3"/>
  </r>
  <r>
    <n v="110"/>
    <s v="CA-2015-129476"/>
    <d v="2015-10-15T00:00:00"/>
    <d v="2015-10-20T00:00:00"/>
    <s v="Standard Class"/>
    <s v="PA-19060"/>
    <s v="Pete Armstrong"/>
    <s v="Home Office"/>
    <s v="United States"/>
    <x v="36"/>
    <s v="Illinois"/>
    <n v="60462"/>
    <s v="Central"/>
    <s v="TEC-AC-10000844"/>
    <x v="0"/>
    <x v="1"/>
    <s v="Peace Lily"/>
    <n v="339.96"/>
    <n v="5"/>
    <m/>
    <n v="509.93999999999994"/>
    <n v="0.05"/>
    <n v="16.998000000000001"/>
    <n v="1.5"/>
  </r>
  <r>
    <n v="111"/>
    <s v="CA-2017-146780"/>
    <d v="2017-12-25T00:00:00"/>
    <d v="2017-12-30T00:00:00"/>
    <s v="Standard Class"/>
    <s v="CV-12805"/>
    <s v="Cynthia Voltz"/>
    <s v="Corporate"/>
    <s v="United States"/>
    <x v="20"/>
    <s v="New York"/>
    <n v="10035"/>
    <s v="East"/>
    <s v="FUR-FU-10001934"/>
    <x v="0"/>
    <x v="2"/>
    <s v="Aloe Vera"/>
    <n v="41.96"/>
    <n v="2"/>
    <m/>
    <n v="25.175999999999998"/>
    <n v="0"/>
    <n v="0"/>
    <n v="0.6"/>
  </r>
  <r>
    <n v="112"/>
    <s v="CA-2016-128867"/>
    <d v="2016-11-03T00:00:00"/>
    <d v="2016-11-10T00:00:00"/>
    <s v="Standard Class"/>
    <s v="CL-12565"/>
    <s v="Clay Ludtke"/>
    <s v="Consumer"/>
    <s v="United States"/>
    <x v="37"/>
    <s v="Iowa"/>
    <n v="50322"/>
    <s v="Central"/>
    <s v="OFF-AR-10000380"/>
    <x v="0"/>
    <x v="0"/>
    <s v="Spider Plant"/>
    <n v="75.959999999999994"/>
    <n v="2"/>
    <m/>
    <n v="45.575999999999993"/>
    <n v="0"/>
    <n v="0"/>
    <n v="0.6"/>
  </r>
  <r>
    <n v="113"/>
    <s v="CA-2016-128867"/>
    <d v="2016-11-03T00:00:00"/>
    <d v="2016-11-10T00:00:00"/>
    <s v="Standard Class"/>
    <s v="CL-12565"/>
    <s v="Clay Ludtke"/>
    <s v="Consumer"/>
    <s v="United States"/>
    <x v="37"/>
    <s v="Iowa"/>
    <n v="50322"/>
    <s v="Central"/>
    <s v="OFF-BI-10003981"/>
    <x v="0"/>
    <x v="3"/>
    <s v="Pothos"/>
    <n v="27.24"/>
    <n v="6"/>
    <m/>
    <n v="49.031999999999996"/>
    <n v="0.05"/>
    <n v="1.3620000000000001"/>
    <n v="1.8"/>
  </r>
  <r>
    <n v="114"/>
    <s v="CA-2014-115259"/>
    <d v="2014-08-25T00:00:00"/>
    <d v="2014-08-27T00:00:00"/>
    <s v="Second Class"/>
    <s v="RC-19960"/>
    <s v="Ryan Crowe"/>
    <s v="Consumer"/>
    <s v="United States"/>
    <x v="38"/>
    <s v="Ohio"/>
    <n v="43229"/>
    <s v="East"/>
    <s v="OFF-FA-10000621"/>
    <x v="0"/>
    <x v="4"/>
    <s v="Monstera"/>
    <n v="40.095999999999997"/>
    <n v="14"/>
    <m/>
    <n v="168.40319999999997"/>
    <n v="7.4999999999999997E-2"/>
    <n v="3.0071999999999997"/>
    <n v="4.1999999999999993"/>
  </r>
  <r>
    <n v="115"/>
    <s v="CA-2014-115259"/>
    <d v="2014-08-25T00:00:00"/>
    <d v="2014-08-27T00:00:00"/>
    <s v="Second Class"/>
    <s v="RC-19960"/>
    <s v="Ryan Crowe"/>
    <s v="Consumer"/>
    <s v="United States"/>
    <x v="38"/>
    <s v="Ohio"/>
    <n v="43229"/>
    <s v="East"/>
    <s v="OFF-EN-10002600"/>
    <x v="0"/>
    <x v="0"/>
    <s v="ZZ Plant"/>
    <n v="4.7200000000000006"/>
    <n v="2"/>
    <m/>
    <n v="2.8320000000000003"/>
    <n v="0"/>
    <n v="0"/>
    <n v="0.6"/>
  </r>
  <r>
    <n v="116"/>
    <s v="CA-2014-115259"/>
    <d v="2014-08-25T00:00:00"/>
    <d v="2014-08-27T00:00:00"/>
    <s v="Second Class"/>
    <s v="RC-19960"/>
    <s v="Ryan Crowe"/>
    <s v="Consumer"/>
    <s v="United States"/>
    <x v="38"/>
    <s v="Ohio"/>
    <n v="43229"/>
    <s v="East"/>
    <s v="OFF-PA-10004965"/>
    <x v="0"/>
    <x v="0"/>
    <s v="Rubber Plant"/>
    <n v="23.975999999999999"/>
    <n v="3"/>
    <m/>
    <n v="21.578399999999998"/>
    <n v="0"/>
    <n v="0"/>
    <n v="0.9"/>
  </r>
  <r>
    <n v="117"/>
    <s v="CA-2014-115259"/>
    <d v="2014-08-25T00:00:00"/>
    <d v="2014-08-27T00:00:00"/>
    <s v="Second Class"/>
    <s v="RC-19960"/>
    <s v="Ryan Crowe"/>
    <s v="Consumer"/>
    <s v="United States"/>
    <x v="38"/>
    <s v="Ohio"/>
    <n v="43229"/>
    <s v="East"/>
    <s v="OFF-EN-10002504"/>
    <x v="0"/>
    <x v="2"/>
    <s v="Jade Plant"/>
    <n v="130.464"/>
    <n v="6"/>
    <m/>
    <n v="234.83519999999999"/>
    <n v="0.05"/>
    <n v="6.5232000000000001"/>
    <n v="1.7999999999999998"/>
  </r>
  <r>
    <n v="118"/>
    <s v="CA-2015-110457"/>
    <d v="2015-03-02T00:00:00"/>
    <d v="2015-03-06T00:00:00"/>
    <s v="Standard Class"/>
    <s v="DK-13090"/>
    <s v="Dave Kipp"/>
    <s v="Consumer"/>
    <s v="United States"/>
    <x v="4"/>
    <s v="Washington"/>
    <n v="98103"/>
    <s v="West"/>
    <s v="FUR-TA-10001768"/>
    <x v="0"/>
    <x v="5"/>
    <s v="Fiddle Leaf Fig"/>
    <n v="787.53"/>
    <n v="3"/>
    <m/>
    <n v="708.77700000000004"/>
    <n v="0"/>
    <n v="0"/>
    <n v="0.90000000000000013"/>
  </r>
  <r>
    <n v="119"/>
    <s v="US-2015-136476"/>
    <d v="2015-04-05T00:00:00"/>
    <d v="2015-04-10T00:00:00"/>
    <s v="Standard Class"/>
    <s v="GG-14650"/>
    <s v="Greg Guthrie"/>
    <s v="Corporate"/>
    <s v="United States"/>
    <x v="39"/>
    <s v="Tennessee"/>
    <n v="37620"/>
    <s v="South"/>
    <s v="OFF-BI-10003650"/>
    <x v="0"/>
    <x v="4"/>
    <s v="Areca Palm"/>
    <n v="157.79400000000001"/>
    <n v="1"/>
    <m/>
    <n v="47.338200000000001"/>
    <n v="0"/>
    <n v="0"/>
    <n v="0.3"/>
  </r>
  <r>
    <n v="120"/>
    <s v="CA-2016-103730"/>
    <d v="2016-06-12T00:00:00"/>
    <d v="2016-06-15T00:00:00"/>
    <s v="First Class"/>
    <s v="SC-20725"/>
    <s v="Steven Cartwright"/>
    <s v="Consumer"/>
    <s v="United States"/>
    <x v="40"/>
    <s v="Delaware"/>
    <n v="19805"/>
    <s v="East"/>
    <s v="FUR-FU-10002157"/>
    <x v="0"/>
    <x v="6"/>
    <s v="Boston Fern"/>
    <n v="47.04"/>
    <n v="3"/>
    <m/>
    <n v="42.335999999999999"/>
    <n v="0"/>
    <n v="0"/>
    <n v="0.9"/>
  </r>
  <r>
    <n v="121"/>
    <s v="CA-2016-103730"/>
    <d v="2016-06-12T00:00:00"/>
    <d v="2016-06-15T00:00:00"/>
    <s v="First Class"/>
    <s v="SC-20725"/>
    <s v="Steven Cartwright"/>
    <s v="Consumer"/>
    <s v="United States"/>
    <x v="40"/>
    <s v="Delaware"/>
    <n v="19805"/>
    <s v="East"/>
    <s v="OFF-BI-10003910"/>
    <x v="0"/>
    <x v="0"/>
    <s v="Snake Plant"/>
    <n v="30.84"/>
    <n v="4"/>
    <m/>
    <n v="37.007999999999996"/>
    <n v="0"/>
    <n v="0"/>
    <n v="1.2"/>
  </r>
  <r>
    <n v="122"/>
    <s v="CA-2016-103730"/>
    <d v="2016-06-12T00:00:00"/>
    <d v="2016-06-15T00:00:00"/>
    <s v="First Class"/>
    <s v="SC-20725"/>
    <s v="Steven Cartwright"/>
    <s v="Consumer"/>
    <s v="United States"/>
    <x v="40"/>
    <s v="Delaware"/>
    <n v="19805"/>
    <s v="East"/>
    <s v="OFF-ST-10000777"/>
    <x v="0"/>
    <x v="1"/>
    <s v="Peace Lily"/>
    <n v="226.56"/>
    <n v="6"/>
    <m/>
    <n v="407.80800000000005"/>
    <n v="0.05"/>
    <n v="11.328000000000001"/>
    <n v="1.8000000000000003"/>
  </r>
  <r>
    <n v="123"/>
    <s v="CA-2016-103730"/>
    <d v="2016-06-12T00:00:00"/>
    <d v="2016-06-15T00:00:00"/>
    <s v="First Class"/>
    <s v="SC-20725"/>
    <s v="Steven Cartwright"/>
    <s v="Consumer"/>
    <s v="United States"/>
    <x v="40"/>
    <s v="Delaware"/>
    <n v="19805"/>
    <s v="East"/>
    <s v="OFF-EN-10002500"/>
    <x v="0"/>
    <x v="2"/>
    <s v="Aloe Vera"/>
    <n v="115.02"/>
    <n v="9"/>
    <m/>
    <n v="310.55400000000003"/>
    <n v="0.05"/>
    <n v="5.7510000000000003"/>
    <n v="2.7"/>
  </r>
  <r>
    <n v="124"/>
    <s v="CA-2016-103730"/>
    <d v="2016-06-12T00:00:00"/>
    <d v="2016-06-15T00:00:00"/>
    <s v="First Class"/>
    <s v="SC-20725"/>
    <s v="Steven Cartwright"/>
    <s v="Consumer"/>
    <s v="United States"/>
    <x v="40"/>
    <s v="Delaware"/>
    <n v="19805"/>
    <s v="East"/>
    <s v="TEC-PH-10003875"/>
    <x v="0"/>
    <x v="0"/>
    <s v="Spider Plant"/>
    <n v="68.040000000000006"/>
    <n v="7"/>
    <m/>
    <n v="142.88400000000001"/>
    <n v="0.05"/>
    <n v="3.4020000000000006"/>
    <n v="2.1"/>
  </r>
  <r>
    <n v="125"/>
    <s v="US-2014-152030"/>
    <d v="2014-12-26T00:00:00"/>
    <d v="2014-12-28T00:00:00"/>
    <s v="Second Class"/>
    <s v="AD-10180"/>
    <s v="Alan Dominguez"/>
    <s v="Home Office"/>
    <s v="United States"/>
    <x v="12"/>
    <s v="Texas"/>
    <n v="77041"/>
    <s v="Central"/>
    <s v="FUR-CH-10004063"/>
    <x v="0"/>
    <x v="3"/>
    <s v="Pothos"/>
    <n v="600.55799999999999"/>
    <n v="3"/>
    <m/>
    <n v="540.50220000000002"/>
    <n v="0"/>
    <n v="0"/>
    <n v="0.9"/>
  </r>
  <r>
    <n v="126"/>
    <s v="US-2014-134614"/>
    <d v="2014-09-20T00:00:00"/>
    <d v="2014-09-25T00:00:00"/>
    <s v="Standard Class"/>
    <s v="PF-19165"/>
    <s v="Philip Fox"/>
    <s v="Consumer"/>
    <s v="United States"/>
    <x v="41"/>
    <s v="Illinois"/>
    <n v="61701"/>
    <s v="Central"/>
    <s v="FUR-TA-10004534"/>
    <x v="0"/>
    <x v="4"/>
    <s v="Monstera"/>
    <n v="617.70000000000005"/>
    <n v="6"/>
    <m/>
    <n v="1111.8600000000001"/>
    <n v="0.05"/>
    <n v="30.885000000000005"/>
    <n v="1.8"/>
  </r>
  <r>
    <n v="127"/>
    <s v="US-2017-107272"/>
    <d v="2017-11-05T00:00:00"/>
    <d v="2017-11-12T00:00:00"/>
    <s v="Standard Class"/>
    <s v="TS-21610"/>
    <s v="Troy Staebel"/>
    <s v="Consumer"/>
    <s v="United States"/>
    <x v="42"/>
    <s v="Arizona"/>
    <n v="85023"/>
    <s v="West"/>
    <s v="OFF-BI-10003274"/>
    <x v="0"/>
    <x v="0"/>
    <s v="ZZ Plant"/>
    <n v="2.3879999999999999"/>
    <n v="2"/>
    <m/>
    <n v="1.4327999999999999"/>
    <n v="0"/>
    <n v="0"/>
    <n v="0.6"/>
  </r>
  <r>
    <n v="128"/>
    <s v="US-2017-107272"/>
    <d v="2017-11-05T00:00:00"/>
    <d v="2017-11-12T00:00:00"/>
    <s v="Standard Class"/>
    <s v="TS-21610"/>
    <s v="Troy Staebel"/>
    <s v="Consumer"/>
    <s v="United States"/>
    <x v="42"/>
    <s v="Arizona"/>
    <n v="85023"/>
    <s v="West"/>
    <s v="OFF-ST-10002974"/>
    <x v="0"/>
    <x v="0"/>
    <s v="Rubber Plant"/>
    <n v="243.99199999999999"/>
    <n v="7"/>
    <m/>
    <n v="512.38319999999999"/>
    <n v="0.05"/>
    <n v="12.1996"/>
    <n v="2.1"/>
  </r>
  <r>
    <n v="129"/>
    <s v="US-2016-125969"/>
    <d v="2016-11-06T00:00:00"/>
    <d v="2016-11-10T00:00:00"/>
    <s v="Second Class"/>
    <s v="LS-16975"/>
    <s v="Lindsay Shagiari"/>
    <s v="Home Office"/>
    <s v="United States"/>
    <x v="1"/>
    <s v="California"/>
    <n v="90004"/>
    <s v="West"/>
    <s v="FUR-CH-10001146"/>
    <x v="0"/>
    <x v="2"/>
    <s v="Jade Plant"/>
    <n v="81.424000000000007"/>
    <n v="2"/>
    <m/>
    <n v="48.854400000000005"/>
    <n v="0"/>
    <n v="0"/>
    <n v="0.6"/>
  </r>
  <r>
    <n v="130"/>
    <s v="US-2016-125969"/>
    <d v="2016-11-06T00:00:00"/>
    <d v="2016-11-10T00:00:00"/>
    <s v="Second Class"/>
    <s v="LS-16975"/>
    <s v="Lindsay Shagiari"/>
    <s v="Home Office"/>
    <s v="United States"/>
    <x v="1"/>
    <s v="California"/>
    <n v="90004"/>
    <s v="West"/>
    <s v="FUR-FU-10003773"/>
    <x v="0"/>
    <x v="5"/>
    <s v="Fiddle Leaf Fig"/>
    <n v="238.56"/>
    <n v="3"/>
    <m/>
    <n v="214.70400000000001"/>
    <n v="0"/>
    <n v="0"/>
    <n v="0.9"/>
  </r>
  <r>
    <n v="131"/>
    <s v="US-2017-164147"/>
    <d v="2017-02-02T00:00:00"/>
    <d v="2017-02-05T00:00:00"/>
    <s v="First Class"/>
    <s v="DW-13585"/>
    <s v="Dorothy Wardle"/>
    <s v="Corporate"/>
    <s v="United States"/>
    <x v="38"/>
    <s v="Ohio"/>
    <n v="43229"/>
    <s v="East"/>
    <s v="TEC-PH-10002293"/>
    <x v="0"/>
    <x v="4"/>
    <s v="Areca Palm"/>
    <n v="59.969999999999992"/>
    <n v="5"/>
    <m/>
    <n v="89.954999999999984"/>
    <n v="0.05"/>
    <n v="2.9984999999999999"/>
    <n v="1.5"/>
  </r>
  <r>
    <n v="132"/>
    <s v="US-2017-164147"/>
    <d v="2017-02-02T00:00:00"/>
    <d v="2017-02-05T00:00:00"/>
    <s v="First Class"/>
    <s v="DW-13585"/>
    <s v="Dorothy Wardle"/>
    <s v="Corporate"/>
    <s v="United States"/>
    <x v="38"/>
    <s v="Ohio"/>
    <n v="43229"/>
    <s v="East"/>
    <s v="OFF-PA-10002377"/>
    <x v="0"/>
    <x v="6"/>
    <s v="Boston Fern"/>
    <n v="78.304000000000002"/>
    <n v="2"/>
    <m/>
    <n v="46.982399999999998"/>
    <n v="0"/>
    <n v="0"/>
    <n v="0.6"/>
  </r>
  <r>
    <n v="133"/>
    <s v="US-2017-164147"/>
    <d v="2017-02-02T00:00:00"/>
    <d v="2017-02-05T00:00:00"/>
    <s v="First Class"/>
    <s v="DW-13585"/>
    <s v="Dorothy Wardle"/>
    <s v="Corporate"/>
    <s v="United States"/>
    <x v="38"/>
    <s v="Ohio"/>
    <n v="43229"/>
    <s v="East"/>
    <s v="OFF-FA-10002780"/>
    <x v="0"/>
    <x v="0"/>
    <s v="Snake Plant"/>
    <n v="21.456"/>
    <n v="9"/>
    <m/>
    <n v="57.93119999999999"/>
    <n v="0.05"/>
    <n v="1.0728"/>
    <n v="2.6999999999999997"/>
  </r>
  <r>
    <n v="134"/>
    <s v="CA-2016-145583"/>
    <d v="2016-10-13T00:00:00"/>
    <d v="2016-10-19T00:00:00"/>
    <s v="Standard Class"/>
    <s v="LC-16885"/>
    <s v="Lena Creighton"/>
    <s v="Consumer"/>
    <s v="United States"/>
    <x v="43"/>
    <s v="California"/>
    <n v="95661"/>
    <s v="West"/>
    <s v="OFF-PA-10001804"/>
    <x v="0"/>
    <x v="1"/>
    <s v="Peace Lily"/>
    <n v="20.04"/>
    <n v="3"/>
    <m/>
    <n v="18.035999999999998"/>
    <n v="0"/>
    <n v="0"/>
    <n v="0.89999999999999991"/>
  </r>
  <r>
    <n v="135"/>
    <s v="CA-2016-145583"/>
    <d v="2016-10-13T00:00:00"/>
    <d v="2016-10-19T00:00:00"/>
    <s v="Standard Class"/>
    <s v="LC-16885"/>
    <s v="Lena Creighton"/>
    <s v="Consumer"/>
    <s v="United States"/>
    <x v="43"/>
    <s v="California"/>
    <n v="95661"/>
    <s v="West"/>
    <s v="OFF-PA-10001736"/>
    <x v="0"/>
    <x v="2"/>
    <s v="Aloe Vera"/>
    <n v="35.44"/>
    <n v="1"/>
    <m/>
    <n v="10.632"/>
    <n v="0"/>
    <n v="0"/>
    <n v="0.3"/>
  </r>
  <r>
    <n v="136"/>
    <s v="CA-2016-145583"/>
    <d v="2016-10-13T00:00:00"/>
    <d v="2016-10-19T00:00:00"/>
    <s v="Standard Class"/>
    <s v="LC-16885"/>
    <s v="Lena Creighton"/>
    <s v="Consumer"/>
    <s v="United States"/>
    <x v="43"/>
    <s v="California"/>
    <n v="95661"/>
    <s v="West"/>
    <s v="OFF-AR-10001149"/>
    <x v="0"/>
    <x v="0"/>
    <s v="Spider Plant"/>
    <n v="11.52"/>
    <n v="4"/>
    <m/>
    <n v="13.824"/>
    <n v="0"/>
    <n v="0"/>
    <n v="1.2"/>
  </r>
  <r>
    <n v="137"/>
    <s v="CA-2016-145583"/>
    <d v="2016-10-13T00:00:00"/>
    <d v="2016-10-19T00:00:00"/>
    <s v="Standard Class"/>
    <s v="LC-16885"/>
    <s v="Lena Creighton"/>
    <s v="Consumer"/>
    <s v="United States"/>
    <x v="43"/>
    <s v="California"/>
    <n v="95661"/>
    <s v="West"/>
    <s v="OFF-FA-10002988"/>
    <x v="0"/>
    <x v="3"/>
    <s v="Pothos"/>
    <n v="4.0199999999999996"/>
    <n v="2"/>
    <m/>
    <n v="2.4119999999999995"/>
    <n v="0"/>
    <n v="0"/>
    <n v="0.6"/>
  </r>
  <r>
    <n v="138"/>
    <s v="CA-2016-145583"/>
    <d v="2016-10-13T00:00:00"/>
    <d v="2016-10-19T00:00:00"/>
    <s v="Standard Class"/>
    <s v="LC-16885"/>
    <s v="Lena Creighton"/>
    <s v="Consumer"/>
    <s v="United States"/>
    <x v="43"/>
    <s v="California"/>
    <n v="95661"/>
    <s v="West"/>
    <s v="OFF-BI-10004781"/>
    <x v="0"/>
    <x v="4"/>
    <s v="Monstera"/>
    <n v="76.176000000000002"/>
    <n v="3"/>
    <m/>
    <n v="68.558400000000006"/>
    <n v="0"/>
    <n v="0"/>
    <n v="0.9"/>
  </r>
  <r>
    <n v="139"/>
    <s v="CA-2016-145583"/>
    <d v="2016-10-13T00:00:00"/>
    <d v="2016-10-19T00:00:00"/>
    <s v="Standard Class"/>
    <s v="LC-16885"/>
    <s v="Lena Creighton"/>
    <s v="Consumer"/>
    <s v="United States"/>
    <x v="43"/>
    <s v="California"/>
    <n v="95661"/>
    <s v="West"/>
    <s v="OFF-SU-10001218"/>
    <x v="0"/>
    <x v="0"/>
    <s v="ZZ Plant"/>
    <n v="65.88"/>
    <n v="6"/>
    <m/>
    <n v="118.58399999999999"/>
    <n v="0.05"/>
    <n v="3.294"/>
    <n v="1.8"/>
  </r>
  <r>
    <n v="140"/>
    <s v="CA-2016-145583"/>
    <d v="2016-10-13T00:00:00"/>
    <d v="2016-10-19T00:00:00"/>
    <s v="Standard Class"/>
    <s v="LC-16885"/>
    <s v="Lena Creighton"/>
    <s v="Consumer"/>
    <s v="United States"/>
    <x v="43"/>
    <s v="California"/>
    <n v="95661"/>
    <s v="West"/>
    <s v="FUR-FU-10001706"/>
    <x v="0"/>
    <x v="0"/>
    <s v="Rubber Plant"/>
    <n v="43.12"/>
    <n v="14"/>
    <m/>
    <n v="181.10399999999998"/>
    <n v="7.4999999999999997E-2"/>
    <n v="3.2339999999999995"/>
    <n v="4.2"/>
  </r>
  <r>
    <n v="141"/>
    <s v="CA-2016-110366"/>
    <d v="2016-09-05T00:00:00"/>
    <d v="2016-09-07T00:00:00"/>
    <s v="Second Class"/>
    <s v="JD-15895"/>
    <s v="Jonathan Doherty"/>
    <s v="Corporate"/>
    <s v="United States"/>
    <x v="10"/>
    <s v="Pennsylvania"/>
    <n v="19140"/>
    <s v="East"/>
    <s v="FUR-FU-10004848"/>
    <x v="0"/>
    <x v="2"/>
    <s v="Jade Plant"/>
    <n v="82.800000000000011"/>
    <n v="2"/>
    <m/>
    <n v="49.680000000000007"/>
    <n v="0"/>
    <n v="0"/>
    <n v="0.6"/>
  </r>
  <r>
    <n v="142"/>
    <s v="CA-2017-106180"/>
    <d v="2017-09-18T00:00:00"/>
    <d v="2017-09-23T00:00:00"/>
    <s v="Standard Class"/>
    <s v="SH-19975"/>
    <s v="Sally Hughsby"/>
    <s v="Corporate"/>
    <s v="United States"/>
    <x v="8"/>
    <s v="California"/>
    <n v="94122"/>
    <s v="West"/>
    <s v="OFF-AR-10000940"/>
    <x v="0"/>
    <x v="5"/>
    <s v="Fiddle Leaf Fig"/>
    <n v="8.82"/>
    <n v="3"/>
    <m/>
    <n v="7.9379999999999997"/>
    <n v="0"/>
    <n v="0"/>
    <n v="0.89999999999999991"/>
  </r>
  <r>
    <n v="143"/>
    <s v="CA-2017-106180"/>
    <d v="2017-09-18T00:00:00"/>
    <d v="2017-09-23T00:00:00"/>
    <s v="Standard Class"/>
    <s v="SH-19975"/>
    <s v="Sally Hughsby"/>
    <s v="Corporate"/>
    <s v="United States"/>
    <x v="8"/>
    <s v="California"/>
    <n v="94122"/>
    <s v="West"/>
    <s v="OFF-EN-10004030"/>
    <x v="0"/>
    <x v="4"/>
    <s v="Areca Palm"/>
    <n v="10.86"/>
    <n v="3"/>
    <m/>
    <n v="9.7739999999999991"/>
    <n v="0"/>
    <n v="0"/>
    <n v="0.9"/>
  </r>
  <r>
    <n v="144"/>
    <s v="CA-2017-106180"/>
    <d v="2017-09-18T00:00:00"/>
    <d v="2017-09-23T00:00:00"/>
    <s v="Standard Class"/>
    <s v="SH-19975"/>
    <s v="Sally Hughsby"/>
    <s v="Corporate"/>
    <s v="United States"/>
    <x v="8"/>
    <s v="California"/>
    <n v="94122"/>
    <s v="West"/>
    <s v="OFF-PA-10004327"/>
    <x v="0"/>
    <x v="6"/>
    <s v="Boston Fern"/>
    <n v="143.69999999999999"/>
    <n v="3"/>
    <m/>
    <n v="129.32999999999998"/>
    <n v="0"/>
    <n v="0"/>
    <n v="0.89999999999999991"/>
  </r>
  <r>
    <n v="145"/>
    <s v="CA-2017-155376"/>
    <d v="2017-12-22T00:00:00"/>
    <d v="2017-12-27T00:00:00"/>
    <s v="Standard Class"/>
    <s v="SG-20080"/>
    <s v="Sandra Glassco"/>
    <s v="Consumer"/>
    <s v="United States"/>
    <x v="44"/>
    <s v="Missouri"/>
    <n v="64055"/>
    <s v="Central"/>
    <s v="OFF-AP-10001058"/>
    <x v="0"/>
    <x v="0"/>
    <s v="Snake Plant"/>
    <n v="839.43000000000006"/>
    <n v="3"/>
    <m/>
    <n v="755.48699999999997"/>
    <n v="0"/>
    <n v="0"/>
    <n v="0.89999999999999991"/>
  </r>
  <r>
    <n v="146"/>
    <s v="CA-2015-110744"/>
    <d v="2015-09-07T00:00:00"/>
    <d v="2015-09-12T00:00:00"/>
    <s v="Standard Class"/>
    <s v="HA-14920"/>
    <s v="Helen Andreada"/>
    <s v="Consumer"/>
    <s v="United States"/>
    <x v="45"/>
    <s v="California"/>
    <n v="91104"/>
    <s v="West"/>
    <s v="OFF-ST-10003656"/>
    <x v="0"/>
    <x v="1"/>
    <s v="Peace Lily"/>
    <n v="671.93"/>
    <n v="7"/>
    <m/>
    <n v="1411.0529999999997"/>
    <n v="0.05"/>
    <n v="33.596499999999999"/>
    <n v="2.0999999999999996"/>
  </r>
  <r>
    <n v="147"/>
    <s v="CA-2014-110072"/>
    <d v="2014-10-22T00:00:00"/>
    <d v="2014-10-28T00:00:00"/>
    <s v="Standard Class"/>
    <s v="MG-17680"/>
    <s v="Maureen Gastineau"/>
    <s v="Home Office"/>
    <s v="United States"/>
    <x v="46"/>
    <s v="Ohio"/>
    <n v="43055"/>
    <s v="East"/>
    <s v="FUR-FU-10000521"/>
    <x v="0"/>
    <x v="2"/>
    <s v="Aloe Vera"/>
    <n v="93.888000000000005"/>
    <n v="4"/>
    <m/>
    <n v="112.6656"/>
    <n v="0"/>
    <n v="0"/>
    <n v="1.2"/>
  </r>
  <r>
    <n v="148"/>
    <s v="CA-2016-114489"/>
    <d v="2016-12-05T00:00:00"/>
    <d v="2016-12-09T00:00:00"/>
    <s v="Standard Class"/>
    <s v="JE-16165"/>
    <s v="Justin Ellison"/>
    <s v="Corporate"/>
    <s v="United States"/>
    <x v="47"/>
    <s v="Wisconsin"/>
    <n v="53132"/>
    <s v="Central"/>
    <s v="TEC-PH-10000215"/>
    <x v="0"/>
    <x v="0"/>
    <s v="Spider Plant"/>
    <n v="384.45"/>
    <n v="11"/>
    <m/>
    <n v="1268.6849999999999"/>
    <n v="7.4999999999999997E-2"/>
    <n v="28.833749999999998"/>
    <n v="3.3"/>
  </r>
  <r>
    <n v="149"/>
    <s v="CA-2016-114489"/>
    <d v="2016-12-05T00:00:00"/>
    <d v="2016-12-09T00:00:00"/>
    <s v="Standard Class"/>
    <s v="JE-16165"/>
    <s v="Justin Ellison"/>
    <s v="Corporate"/>
    <s v="United States"/>
    <x v="47"/>
    <s v="Wisconsin"/>
    <n v="53132"/>
    <s v="Central"/>
    <s v="TEC-PH-10001448"/>
    <x v="0"/>
    <x v="3"/>
    <s v="Pothos"/>
    <n v="149.97"/>
    <n v="3"/>
    <m/>
    <n v="134.97299999999998"/>
    <n v="0"/>
    <n v="0"/>
    <n v="0.89999999999999991"/>
  </r>
  <r>
    <n v="150"/>
    <s v="CA-2016-114489"/>
    <d v="2016-12-05T00:00:00"/>
    <d v="2016-12-09T00:00:00"/>
    <s v="Standard Class"/>
    <s v="JE-16165"/>
    <s v="Justin Ellison"/>
    <s v="Corporate"/>
    <s v="United States"/>
    <x v="47"/>
    <s v="Wisconsin"/>
    <n v="53132"/>
    <s v="Central"/>
    <s v="FUR-CH-10000454"/>
    <x v="0"/>
    <x v="4"/>
    <s v="Monstera"/>
    <n v="1951.84"/>
    <n v="8"/>
    <m/>
    <n v="4684.4159999999993"/>
    <n v="0.05"/>
    <n v="97.591999999999999"/>
    <n v="2.4"/>
  </r>
  <r>
    <n v="151"/>
    <s v="CA-2016-114489"/>
    <d v="2016-12-05T00:00:00"/>
    <d v="2016-12-09T00:00:00"/>
    <s v="Standard Class"/>
    <s v="JE-16165"/>
    <s v="Justin Ellison"/>
    <s v="Corporate"/>
    <s v="United States"/>
    <x v="47"/>
    <s v="Wisconsin"/>
    <n v="53132"/>
    <s v="Central"/>
    <s v="OFF-BI-10002735"/>
    <x v="0"/>
    <x v="0"/>
    <s v="ZZ Plant"/>
    <n v="171.55"/>
    <n v="5"/>
    <m/>
    <n v="257.32499999999999"/>
    <n v="0.05"/>
    <n v="8.5775000000000006"/>
    <n v="1.4999999999999998"/>
  </r>
  <r>
    <n v="152"/>
    <s v="CA-2016-158834"/>
    <d v="2016-03-13T00:00:00"/>
    <d v="2016-03-16T00:00:00"/>
    <s v="First Class"/>
    <s v="TW-21025"/>
    <s v="Tamara Willingham"/>
    <s v="Home Office"/>
    <s v="United States"/>
    <x v="48"/>
    <s v="Arizona"/>
    <n v="85254"/>
    <s v="West"/>
    <s v="OFF-AP-10000326"/>
    <x v="0"/>
    <x v="0"/>
    <s v="Rubber Plant"/>
    <n v="157.91999999999999"/>
    <n v="5"/>
    <m/>
    <n v="236.87999999999997"/>
    <n v="0.05"/>
    <n v="7.8959999999999999"/>
    <n v="1.5"/>
  </r>
  <r>
    <n v="153"/>
    <s v="CA-2016-158834"/>
    <d v="2016-03-13T00:00:00"/>
    <d v="2016-03-16T00:00:00"/>
    <s v="First Class"/>
    <s v="TW-21025"/>
    <s v="Tamara Willingham"/>
    <s v="Home Office"/>
    <s v="United States"/>
    <x v="48"/>
    <s v="Arizona"/>
    <n v="85254"/>
    <s v="West"/>
    <s v="TEC-PH-10001254"/>
    <x v="0"/>
    <x v="2"/>
    <s v="Jade Plant"/>
    <n v="203.184"/>
    <n v="2"/>
    <m/>
    <n v="121.9104"/>
    <n v="0"/>
    <n v="0"/>
    <n v="0.6"/>
  </r>
  <r>
    <n v="154"/>
    <s v="CA-2015-124919"/>
    <d v="2015-05-31T00:00:00"/>
    <d v="2015-06-02T00:00:00"/>
    <s v="First Class"/>
    <s v="SP-20650"/>
    <s v="Stephanie Phelps"/>
    <s v="Corporate"/>
    <s v="United States"/>
    <x v="49"/>
    <s v="California"/>
    <n v="95123"/>
    <s v="West"/>
    <s v="OFF-PA-10001950"/>
    <x v="0"/>
    <x v="5"/>
    <s v="Fiddle Leaf Fig"/>
    <n v="58.38"/>
    <n v="7"/>
    <m/>
    <n v="122.598"/>
    <n v="0.05"/>
    <n v="2.9190000000000005"/>
    <n v="2.1"/>
  </r>
  <r>
    <n v="155"/>
    <s v="CA-2015-124919"/>
    <d v="2015-05-31T00:00:00"/>
    <d v="2015-06-02T00:00:00"/>
    <s v="First Class"/>
    <s v="SP-20650"/>
    <s v="Stephanie Phelps"/>
    <s v="Corporate"/>
    <s v="United States"/>
    <x v="49"/>
    <s v="California"/>
    <n v="95123"/>
    <s v="West"/>
    <s v="OFF-PA-10002254"/>
    <x v="0"/>
    <x v="4"/>
    <s v="Areca Palm"/>
    <n v="105.52"/>
    <n v="4"/>
    <m/>
    <n v="126.624"/>
    <n v="0"/>
    <n v="0"/>
    <n v="1.2"/>
  </r>
  <r>
    <n v="156"/>
    <s v="CA-2015-124919"/>
    <d v="2015-05-31T00:00:00"/>
    <d v="2015-06-02T00:00:00"/>
    <s v="First Class"/>
    <s v="SP-20650"/>
    <s v="Stephanie Phelps"/>
    <s v="Corporate"/>
    <s v="United States"/>
    <x v="49"/>
    <s v="California"/>
    <n v="95123"/>
    <s v="West"/>
    <s v="OFF-ST-10001590"/>
    <x v="0"/>
    <x v="6"/>
    <s v="Boston Fern"/>
    <n v="80.88"/>
    <n v="6"/>
    <m/>
    <n v="145.58399999999997"/>
    <n v="0.05"/>
    <n v="4.0439999999999996"/>
    <n v="1.7999999999999998"/>
  </r>
  <r>
    <n v="157"/>
    <s v="CA-2015-118948"/>
    <d v="2015-05-28T00:00:00"/>
    <d v="2015-06-03T00:00:00"/>
    <s v="Standard Class"/>
    <s v="NK-18490"/>
    <s v="Neil Knudson"/>
    <s v="Home Office"/>
    <s v="United States"/>
    <x v="4"/>
    <s v="Washington"/>
    <n v="98105"/>
    <s v="West"/>
    <s v="OFF-AR-10001547"/>
    <x v="0"/>
    <x v="0"/>
    <s v="Snake Plant"/>
    <n v="6.63"/>
    <n v="3"/>
    <m/>
    <n v="5.9669999999999996"/>
    <n v="0"/>
    <n v="0"/>
    <n v="0.89999999999999991"/>
  </r>
  <r>
    <n v="158"/>
    <s v="CA-2014-104269"/>
    <d v="2014-03-01T00:00:00"/>
    <d v="2014-03-06T00:00:00"/>
    <s v="Second Class"/>
    <s v="DB-13060"/>
    <s v="Dave Brooks"/>
    <s v="Consumer"/>
    <s v="United States"/>
    <x v="4"/>
    <s v="Washington"/>
    <n v="98115"/>
    <s v="West"/>
    <s v="FUR-CH-10004063"/>
    <x v="0"/>
    <x v="1"/>
    <s v="Peace Lily"/>
    <n v="457.56799999999998"/>
    <n v="2"/>
    <m/>
    <n v="274.54079999999999"/>
    <n v="0"/>
    <n v="0"/>
    <n v="0.6"/>
  </r>
  <r>
    <n v="159"/>
    <s v="CA-2016-114104"/>
    <d v="2016-11-20T00:00:00"/>
    <d v="2016-11-24T00:00:00"/>
    <s v="Standard Class"/>
    <s v="NP-18670"/>
    <s v="Nora Paige"/>
    <s v="Consumer"/>
    <s v="United States"/>
    <x v="50"/>
    <s v="Oklahoma"/>
    <n v="73034"/>
    <s v="Central"/>
    <s v="OFF-LA-10002475"/>
    <x v="0"/>
    <x v="2"/>
    <s v="Aloe Vera"/>
    <n v="14.62"/>
    <n v="2"/>
    <m/>
    <n v="8.7719999999999985"/>
    <n v="0"/>
    <n v="0"/>
    <n v="0.6"/>
  </r>
  <r>
    <n v="160"/>
    <s v="CA-2016-114104"/>
    <d v="2016-11-20T00:00:00"/>
    <d v="2016-11-24T00:00:00"/>
    <s v="Standard Class"/>
    <s v="NP-18670"/>
    <s v="Nora Paige"/>
    <s v="Consumer"/>
    <s v="United States"/>
    <x v="50"/>
    <s v="Oklahoma"/>
    <n v="73034"/>
    <s v="Central"/>
    <s v="TEC-PH-10004536"/>
    <x v="0"/>
    <x v="0"/>
    <s v="Spider Plant"/>
    <n v="944.93000000000006"/>
    <n v="7"/>
    <m/>
    <n v="1984.3530000000001"/>
    <n v="0.05"/>
    <n v="47.246500000000005"/>
    <n v="2.1"/>
  </r>
  <r>
    <n v="161"/>
    <s v="CA-2016-162733"/>
    <d v="2016-05-11T00:00:00"/>
    <d v="2016-05-12T00:00:00"/>
    <s v="First Class"/>
    <s v="TT-21070"/>
    <s v="Ted Trevino"/>
    <s v="Consumer"/>
    <s v="United States"/>
    <x v="1"/>
    <s v="California"/>
    <n v="90045"/>
    <s v="West"/>
    <s v="OFF-PA-10002751"/>
    <x v="0"/>
    <x v="3"/>
    <s v="Pothos"/>
    <n v="5.98"/>
    <n v="1"/>
    <m/>
    <n v="1.794"/>
    <n v="0"/>
    <n v="0"/>
    <n v="0.3"/>
  </r>
  <r>
    <n v="162"/>
    <s v="CA-2015-119697"/>
    <d v="2015-12-28T00:00:00"/>
    <d v="2015-12-31T00:00:00"/>
    <s v="Second Class"/>
    <s v="EM-13960"/>
    <s v="Eric Murdock"/>
    <s v="Consumer"/>
    <s v="United States"/>
    <x v="10"/>
    <s v="Pennsylvania"/>
    <n v="19134"/>
    <s v="East"/>
    <s v="TEC-AC-10003657"/>
    <x v="0"/>
    <x v="4"/>
    <s v="Monstera"/>
    <n v="54.384000000000007"/>
    <n v="2"/>
    <m/>
    <n v="32.630400000000002"/>
    <n v="0"/>
    <n v="0"/>
    <n v="0.6"/>
  </r>
  <r>
    <n v="163"/>
    <s v="CA-2016-154508"/>
    <d v="2016-11-16T00:00:00"/>
    <d v="2016-11-20T00:00:00"/>
    <s v="Standard Class"/>
    <s v="RD-19900"/>
    <s v="Ruben Dartt"/>
    <s v="Consumer"/>
    <s v="United States"/>
    <x v="51"/>
    <s v="New Mexico"/>
    <n v="88220"/>
    <s v="West"/>
    <s v="OFF-EN-10001990"/>
    <x v="0"/>
    <x v="0"/>
    <s v="ZZ Plant"/>
    <n v="28.4"/>
    <n v="5"/>
    <m/>
    <n v="42.6"/>
    <n v="0.05"/>
    <n v="1.42"/>
    <n v="1.5000000000000002"/>
  </r>
  <r>
    <n v="164"/>
    <s v="CA-2016-113817"/>
    <d v="2016-11-07T00:00:00"/>
    <d v="2016-11-11T00:00:00"/>
    <s v="Standard Class"/>
    <s v="MJ-17740"/>
    <s v="Max Jones"/>
    <s v="Consumer"/>
    <s v="United States"/>
    <x v="4"/>
    <s v="Washington"/>
    <n v="98115"/>
    <s v="West"/>
    <s v="OFF-BI-10004002"/>
    <x v="0"/>
    <x v="0"/>
    <s v="Rubber Plant"/>
    <n v="27.68"/>
    <n v="2"/>
    <m/>
    <n v="16.608000000000001"/>
    <n v="0"/>
    <n v="0"/>
    <n v="0.6"/>
  </r>
  <r>
    <n v="165"/>
    <s v="CA-2014-139892"/>
    <d v="2014-09-08T00:00:00"/>
    <d v="2014-09-12T00:00:00"/>
    <s v="Standard Class"/>
    <s v="BM-11140"/>
    <s v="Becky Martin"/>
    <s v="Consumer"/>
    <s v="United States"/>
    <x v="52"/>
    <s v="Texas"/>
    <n v="78207"/>
    <s v="Central"/>
    <s v="OFF-AR-10004441"/>
    <x v="0"/>
    <x v="2"/>
    <s v="Jade Plant"/>
    <n v="9.9359999999999999"/>
    <n v="3"/>
    <m/>
    <n v="8.9423999999999992"/>
    <n v="0"/>
    <n v="0"/>
    <n v="0.89999999999999991"/>
  </r>
  <r>
    <n v="166"/>
    <s v="CA-2014-139892"/>
    <d v="2014-09-08T00:00:00"/>
    <d v="2014-09-12T00:00:00"/>
    <s v="Standard Class"/>
    <s v="BM-11140"/>
    <s v="Becky Martin"/>
    <s v="Consumer"/>
    <s v="United States"/>
    <x v="52"/>
    <s v="Texas"/>
    <n v="78207"/>
    <s v="Central"/>
    <s v="TEC-MA-10000822"/>
    <x v="0"/>
    <x v="5"/>
    <s v="Fiddle Leaf Fig"/>
    <n v="8159.9519999999993"/>
    <n v="8"/>
    <m/>
    <n v="19583.884799999996"/>
    <n v="0.05"/>
    <n v="407.99759999999998"/>
    <n v="2.4"/>
  </r>
  <r>
    <n v="167"/>
    <s v="CA-2014-139892"/>
    <d v="2014-09-08T00:00:00"/>
    <d v="2014-09-12T00:00:00"/>
    <s v="Standard Class"/>
    <s v="BM-11140"/>
    <s v="Becky Martin"/>
    <s v="Consumer"/>
    <s v="United States"/>
    <x v="52"/>
    <s v="Texas"/>
    <n v="78207"/>
    <s v="Central"/>
    <s v="OFF-ST-10000991"/>
    <x v="0"/>
    <x v="4"/>
    <s v="Areca Palm"/>
    <n v="275.928"/>
    <n v="3"/>
    <m/>
    <n v="248.33519999999999"/>
    <n v="0"/>
    <n v="0"/>
    <n v="0.89999999999999991"/>
  </r>
  <r>
    <n v="168"/>
    <s v="CA-2014-139892"/>
    <d v="2014-09-08T00:00:00"/>
    <d v="2014-09-12T00:00:00"/>
    <s v="Standard Class"/>
    <s v="BM-11140"/>
    <s v="Becky Martin"/>
    <s v="Consumer"/>
    <s v="United States"/>
    <x v="52"/>
    <s v="Texas"/>
    <n v="78207"/>
    <s v="Central"/>
    <s v="FUR-CH-10004287"/>
    <x v="0"/>
    <x v="6"/>
    <s v="Boston Fern"/>
    <n v="1740.06"/>
    <n v="9"/>
    <m/>
    <n v="4698.1619999999994"/>
    <n v="0.05"/>
    <n v="87.003"/>
    <n v="2.6999999999999997"/>
  </r>
  <r>
    <n v="169"/>
    <s v="CA-2014-139892"/>
    <d v="2014-09-08T00:00:00"/>
    <d v="2014-09-12T00:00:00"/>
    <s v="Standard Class"/>
    <s v="BM-11140"/>
    <s v="Becky Martin"/>
    <s v="Consumer"/>
    <s v="United States"/>
    <x v="52"/>
    <s v="Texas"/>
    <n v="78207"/>
    <s v="Central"/>
    <s v="OFF-AR-10002656"/>
    <x v="0"/>
    <x v="0"/>
    <s v="Snake Plant"/>
    <n v="32.064"/>
    <n v="6"/>
    <m/>
    <n v="57.715200000000003"/>
    <n v="0.05"/>
    <n v="1.6032000000000002"/>
    <n v="1.8"/>
  </r>
  <r>
    <n v="170"/>
    <s v="CA-2014-139892"/>
    <d v="2014-09-08T00:00:00"/>
    <d v="2014-09-12T00:00:00"/>
    <s v="Standard Class"/>
    <s v="BM-11140"/>
    <s v="Becky Martin"/>
    <s v="Consumer"/>
    <s v="United States"/>
    <x v="52"/>
    <s v="Texas"/>
    <n v="78207"/>
    <s v="Central"/>
    <s v="OFF-AP-10002518"/>
    <x v="0"/>
    <x v="1"/>
    <s v="Peace Lily"/>
    <n v="177.98"/>
    <n v="5"/>
    <m/>
    <n v="266.96999999999997"/>
    <n v="0.05"/>
    <n v="8.8989999999999991"/>
    <n v="1.5"/>
  </r>
  <r>
    <n v="171"/>
    <s v="CA-2014-139892"/>
    <d v="2014-09-08T00:00:00"/>
    <d v="2014-09-12T00:00:00"/>
    <s v="Standard Class"/>
    <s v="BM-11140"/>
    <s v="Becky Martin"/>
    <s v="Consumer"/>
    <s v="United States"/>
    <x v="52"/>
    <s v="Texas"/>
    <n v="78207"/>
    <s v="Central"/>
    <s v="TEC-PH-10003931"/>
    <x v="0"/>
    <x v="2"/>
    <s v="Aloe Vera"/>
    <n v="143.976"/>
    <n v="3"/>
    <m/>
    <n v="129.57839999999999"/>
    <n v="0"/>
    <n v="0"/>
    <n v="0.89999999999999991"/>
  </r>
  <r>
    <n v="172"/>
    <s v="CA-2014-118962"/>
    <d v="2014-08-05T00:00:00"/>
    <d v="2014-08-09T00:00:00"/>
    <s v="Standard Class"/>
    <s v="CS-12130"/>
    <s v="Chad Sievert"/>
    <s v="Consumer"/>
    <s v="United States"/>
    <x v="1"/>
    <s v="California"/>
    <n v="90004"/>
    <s v="West"/>
    <s v="OFF-PA-10000659"/>
    <x v="0"/>
    <x v="0"/>
    <s v="Spider Plant"/>
    <n v="20.94"/>
    <n v="3"/>
    <m/>
    <n v="18.846"/>
    <n v="0"/>
    <n v="0"/>
    <n v="0.89999999999999991"/>
  </r>
  <r>
    <n v="173"/>
    <s v="CA-2014-118962"/>
    <d v="2014-08-05T00:00:00"/>
    <d v="2014-08-09T00:00:00"/>
    <s v="Standard Class"/>
    <s v="CS-12130"/>
    <s v="Chad Sievert"/>
    <s v="Consumer"/>
    <s v="United States"/>
    <x v="1"/>
    <s v="California"/>
    <n v="90004"/>
    <s v="West"/>
    <s v="OFF-PA-10001144"/>
    <x v="0"/>
    <x v="3"/>
    <s v="Pothos"/>
    <n v="110.96"/>
    <n v="2"/>
    <m/>
    <n v="66.575999999999993"/>
    <n v="0"/>
    <n v="0"/>
    <n v="0.6"/>
  </r>
  <r>
    <n v="174"/>
    <s v="CA-2014-118962"/>
    <d v="2014-08-05T00:00:00"/>
    <d v="2014-08-09T00:00:00"/>
    <s v="Standard Class"/>
    <s v="CS-12130"/>
    <s v="Chad Sievert"/>
    <s v="Consumer"/>
    <s v="United States"/>
    <x v="1"/>
    <s v="California"/>
    <n v="90004"/>
    <s v="West"/>
    <s v="FUR-CH-10003817"/>
    <x v="0"/>
    <x v="4"/>
    <s v="Monstera"/>
    <n v="340.14400000000012"/>
    <n v="7"/>
    <m/>
    <n v="714.30240000000015"/>
    <n v="0.05"/>
    <n v="17.007200000000008"/>
    <n v="2.0999999999999996"/>
  </r>
  <r>
    <n v="175"/>
    <s v="US-2014-100853"/>
    <d v="2014-09-14T00:00:00"/>
    <d v="2014-09-19T00:00:00"/>
    <s v="Standard Class"/>
    <s v="JB-15400"/>
    <s v="Jennifer Braxton"/>
    <s v="Corporate"/>
    <s v="United States"/>
    <x v="22"/>
    <s v="Illinois"/>
    <n v="60623"/>
    <s v="Central"/>
    <s v="OFF-AP-10000891"/>
    <x v="0"/>
    <x v="0"/>
    <s v="ZZ Plant"/>
    <n v="52.447999999999993"/>
    <n v="2"/>
    <m/>
    <n v="31.468799999999995"/>
    <n v="0"/>
    <n v="0"/>
    <n v="0.6"/>
  </r>
  <r>
    <n v="176"/>
    <s v="US-2014-100853"/>
    <d v="2014-09-14T00:00:00"/>
    <d v="2014-09-19T00:00:00"/>
    <s v="Standard Class"/>
    <s v="JB-15400"/>
    <s v="Jennifer Braxton"/>
    <s v="Corporate"/>
    <s v="United States"/>
    <x v="22"/>
    <s v="Illinois"/>
    <n v="60623"/>
    <s v="Central"/>
    <s v="OFF-LA-10003148"/>
    <x v="0"/>
    <x v="0"/>
    <s v="Rubber Plant"/>
    <n v="20.16"/>
    <n v="4"/>
    <m/>
    <n v="24.192"/>
    <n v="0"/>
    <n v="0"/>
    <n v="1.2"/>
  </r>
  <r>
    <n v="177"/>
    <s v="US-2017-152366"/>
    <d v="2017-04-21T00:00:00"/>
    <d v="2017-04-25T00:00:00"/>
    <s v="Second Class"/>
    <s v="SJ-20500"/>
    <s v="Shirley Jackson"/>
    <s v="Consumer"/>
    <s v="United States"/>
    <x v="12"/>
    <s v="Texas"/>
    <n v="77036"/>
    <s v="Central"/>
    <s v="OFF-AP-10002684"/>
    <x v="0"/>
    <x v="2"/>
    <s v="Jade Plant"/>
    <n v="97.263999999999982"/>
    <n v="4"/>
    <m/>
    <n v="116.71679999999998"/>
    <n v="0"/>
    <n v="0"/>
    <n v="1.2"/>
  </r>
  <r>
    <n v="178"/>
    <s v="US-2015-101511"/>
    <d v="2015-11-21T00:00:00"/>
    <d v="2015-11-23T00:00:00"/>
    <s v="Second Class"/>
    <s v="JE-15745"/>
    <s v="Joel Eaton"/>
    <s v="Consumer"/>
    <s v="United States"/>
    <x v="46"/>
    <s v="Ohio"/>
    <n v="43055"/>
    <s v="East"/>
    <s v="FUR-CH-10004698"/>
    <x v="0"/>
    <x v="5"/>
    <s v="Fiddle Leaf Fig"/>
    <n v="396.80200000000002"/>
    <n v="7"/>
    <m/>
    <n v="833.28419999999994"/>
    <n v="0.05"/>
    <n v="19.840100000000003"/>
    <n v="2.0999999999999996"/>
  </r>
  <r>
    <n v="179"/>
    <s v="US-2015-101511"/>
    <d v="2015-11-21T00:00:00"/>
    <d v="2015-11-23T00:00:00"/>
    <s v="Second Class"/>
    <s v="JE-15745"/>
    <s v="Joel Eaton"/>
    <s v="Consumer"/>
    <s v="United States"/>
    <x v="46"/>
    <s v="Ohio"/>
    <n v="43055"/>
    <s v="East"/>
    <s v="OFF-SU-10002189"/>
    <x v="0"/>
    <x v="4"/>
    <s v="Areca Palm"/>
    <n v="15.88"/>
    <n v="5"/>
    <m/>
    <n v="23.82"/>
    <n v="0.05"/>
    <n v="0.79400000000000004"/>
    <n v="1.5"/>
  </r>
  <r>
    <n v="180"/>
    <s v="CA-2015-137225"/>
    <d v="2015-12-15T00:00:00"/>
    <d v="2015-12-19T00:00:00"/>
    <s v="Standard Class"/>
    <s v="JK-15640"/>
    <s v="Jim Kriz"/>
    <s v="Home Office"/>
    <s v="United States"/>
    <x v="20"/>
    <s v="New York"/>
    <n v="10009"/>
    <s v="East"/>
    <s v="OFF-AR-10001940"/>
    <x v="0"/>
    <x v="6"/>
    <s v="Boston Fern"/>
    <n v="3.28"/>
    <n v="1"/>
    <m/>
    <n v="0.98399999999999987"/>
    <n v="0"/>
    <n v="0"/>
    <n v="0.3"/>
  </r>
  <r>
    <n v="181"/>
    <s v="CA-2014-166191"/>
    <d v="2014-12-05T00:00:00"/>
    <d v="2014-12-09T00:00:00"/>
    <s v="Second Class"/>
    <s v="DK-13150"/>
    <s v="David Kendrick"/>
    <s v="Corporate"/>
    <s v="United States"/>
    <x v="27"/>
    <s v="Illinois"/>
    <n v="62521"/>
    <s v="Central"/>
    <s v="OFF-ST-10003455"/>
    <x v="0"/>
    <x v="0"/>
    <s v="Snake Plant"/>
    <n v="24.815999999999999"/>
    <n v="2"/>
    <m/>
    <n v="14.889599999999998"/>
    <n v="0"/>
    <n v="0"/>
    <n v="0.6"/>
  </r>
  <r>
    <n v="182"/>
    <s v="CA-2014-166191"/>
    <d v="2014-12-05T00:00:00"/>
    <d v="2014-12-09T00:00:00"/>
    <s v="Second Class"/>
    <s v="DK-13150"/>
    <s v="David Kendrick"/>
    <s v="Corporate"/>
    <s v="United States"/>
    <x v="27"/>
    <s v="Illinois"/>
    <n v="62521"/>
    <s v="Central"/>
    <s v="TEC-AC-10004659"/>
    <x v="0"/>
    <x v="1"/>
    <s v="Peace Lily"/>
    <n v="408.74400000000003"/>
    <n v="7"/>
    <m/>
    <n v="858.36239999999998"/>
    <n v="0.05"/>
    <n v="20.437200000000004"/>
    <n v="2.0999999999999996"/>
  </r>
  <r>
    <n v="183"/>
    <s v="CA-2014-158274"/>
    <d v="2014-11-19T00:00:00"/>
    <d v="2014-11-24T00:00:00"/>
    <s v="Second Class"/>
    <s v="RM-19675"/>
    <s v="Robert Marley"/>
    <s v="Home Office"/>
    <s v="United States"/>
    <x v="53"/>
    <s v="Louisiana"/>
    <n v="71203"/>
    <s v="South"/>
    <s v="TEC-PH-10003273"/>
    <x v="0"/>
    <x v="2"/>
    <s v="Aloe Vera"/>
    <n v="503.96"/>
    <n v="4"/>
    <m/>
    <n v="604.75199999999995"/>
    <n v="0"/>
    <n v="0"/>
    <n v="1.2"/>
  </r>
  <r>
    <n v="184"/>
    <s v="CA-2014-158274"/>
    <d v="2014-11-19T00:00:00"/>
    <d v="2014-11-24T00:00:00"/>
    <s v="Second Class"/>
    <s v="RM-19675"/>
    <s v="Robert Marley"/>
    <s v="Home Office"/>
    <s v="United States"/>
    <x v="53"/>
    <s v="Louisiana"/>
    <n v="71203"/>
    <s v="South"/>
    <s v="TEC-PH-10004896"/>
    <x v="0"/>
    <x v="0"/>
    <s v="Spider Plant"/>
    <n v="149.94999999999999"/>
    <n v="5"/>
    <m/>
    <n v="224.92499999999998"/>
    <n v="0.05"/>
    <n v="7.4974999999999996"/>
    <n v="1.5"/>
  </r>
  <r>
    <n v="185"/>
    <s v="CA-2014-158274"/>
    <d v="2014-11-19T00:00:00"/>
    <d v="2014-11-24T00:00:00"/>
    <s v="Second Class"/>
    <s v="RM-19675"/>
    <s v="Robert Marley"/>
    <s v="Home Office"/>
    <s v="United States"/>
    <x v="53"/>
    <s v="Louisiana"/>
    <n v="71203"/>
    <s v="South"/>
    <s v="TEC-AC-10002345"/>
    <x v="0"/>
    <x v="3"/>
    <s v="Pothos"/>
    <n v="29"/>
    <n v="2"/>
    <m/>
    <n v="17.399999999999999"/>
    <n v="0"/>
    <n v="0"/>
    <n v="0.6"/>
  </r>
  <r>
    <n v="186"/>
    <s v="CA-2016-105018"/>
    <d v="2016-11-28T00:00:00"/>
    <d v="2016-12-02T00:00:00"/>
    <s v="Standard Class"/>
    <s v="SK-19990"/>
    <s v="Sally Knutson"/>
    <s v="Consumer"/>
    <s v="United States"/>
    <x v="54"/>
    <s v="Connecticut"/>
    <n v="6824"/>
    <s v="East"/>
    <s v="OFF-BI-10001890"/>
    <x v="0"/>
    <x v="4"/>
    <s v="Monstera"/>
    <n v="7.16"/>
    <n v="2"/>
    <m/>
    <n v="4.2960000000000003"/>
    <n v="0"/>
    <n v="0"/>
    <n v="0.6"/>
  </r>
  <r>
    <n v="187"/>
    <s v="CA-2014-123260"/>
    <d v="2014-08-26T00:00:00"/>
    <d v="2014-08-30T00:00:00"/>
    <s v="Standard Class"/>
    <s v="FM-14290"/>
    <s v="Frank Merwin"/>
    <s v="Home Office"/>
    <s v="United States"/>
    <x v="1"/>
    <s v="California"/>
    <n v="90032"/>
    <s v="West"/>
    <s v="TEC-AC-10002323"/>
    <x v="0"/>
    <x v="0"/>
    <s v="ZZ Plant"/>
    <n v="176.8"/>
    <n v="8"/>
    <m/>
    <n v="424.32"/>
    <n v="0.05"/>
    <n v="8.8400000000000016"/>
    <n v="2.4"/>
  </r>
  <r>
    <n v="188"/>
    <s v="CA-2016-157000"/>
    <d v="2016-07-16T00:00:00"/>
    <d v="2016-07-22T00:00:00"/>
    <s v="Standard Class"/>
    <s v="AM-10360"/>
    <s v="Alice McCarthy"/>
    <s v="Corporate"/>
    <s v="United States"/>
    <x v="55"/>
    <s v="Texas"/>
    <n v="75051"/>
    <s v="Central"/>
    <s v="OFF-ST-10001328"/>
    <x v="0"/>
    <x v="0"/>
    <s v="Rubber Plant"/>
    <n v="37.223999999999997"/>
    <n v="3"/>
    <m/>
    <n v="33.501599999999996"/>
    <n v="0"/>
    <n v="0"/>
    <n v="0.9"/>
  </r>
  <r>
    <n v="189"/>
    <s v="CA-2016-157000"/>
    <d v="2016-07-16T00:00:00"/>
    <d v="2016-07-22T00:00:00"/>
    <s v="Standard Class"/>
    <s v="AM-10360"/>
    <s v="Alice McCarthy"/>
    <s v="Corporate"/>
    <s v="United States"/>
    <x v="55"/>
    <s v="Texas"/>
    <n v="75051"/>
    <s v="Central"/>
    <s v="OFF-PA-10001950"/>
    <x v="0"/>
    <x v="2"/>
    <s v="Jade Plant"/>
    <n v="20.015999999999998"/>
    <n v="3"/>
    <m/>
    <n v="18.014399999999998"/>
    <n v="0"/>
    <n v="0"/>
    <n v="0.9"/>
  </r>
  <r>
    <n v="190"/>
    <s v="CA-2015-102281"/>
    <d v="2015-10-12T00:00:00"/>
    <d v="2015-10-14T00:00:00"/>
    <s v="First Class"/>
    <s v="MP-17470"/>
    <s v="Mark Packer"/>
    <s v="Home Office"/>
    <s v="United States"/>
    <x v="20"/>
    <s v="New York"/>
    <n v="10035"/>
    <s v="East"/>
    <s v="FUR-BO-10002613"/>
    <x v="0"/>
    <x v="5"/>
    <s v="Fiddle Leaf Fig"/>
    <n v="899.13600000000008"/>
    <n v="4"/>
    <m/>
    <n v="1078.9632000000001"/>
    <n v="0"/>
    <n v="0"/>
    <n v="1.2"/>
  </r>
  <r>
    <n v="191"/>
    <s v="CA-2015-102281"/>
    <d v="2015-10-12T00:00:00"/>
    <d v="2015-10-14T00:00:00"/>
    <s v="First Class"/>
    <s v="MP-17470"/>
    <s v="Mark Packer"/>
    <s v="Home Office"/>
    <s v="United States"/>
    <x v="20"/>
    <s v="New York"/>
    <n v="10035"/>
    <s v="East"/>
    <s v="TEC-PH-10001552"/>
    <x v="0"/>
    <x v="4"/>
    <s v="Areca Palm"/>
    <n v="71.760000000000005"/>
    <n v="6"/>
    <m/>
    <n v="129.16800000000001"/>
    <n v="0.05"/>
    <n v="3.5880000000000005"/>
    <n v="1.8"/>
  </r>
  <r>
    <n v="192"/>
    <s v="CA-2015-102281"/>
    <d v="2015-10-12T00:00:00"/>
    <d v="2015-10-14T00:00:00"/>
    <s v="First Class"/>
    <s v="MP-17470"/>
    <s v="Mark Packer"/>
    <s v="Home Office"/>
    <s v="United States"/>
    <x v="20"/>
    <s v="New York"/>
    <n v="10035"/>
    <s v="East"/>
    <s v="OFF-PA-10000061"/>
    <x v="0"/>
    <x v="6"/>
    <s v="Boston Fern"/>
    <n v="51.84"/>
    <n v="8"/>
    <m/>
    <n v="124.416"/>
    <n v="0.05"/>
    <n v="2.5920000000000005"/>
    <n v="2.4"/>
  </r>
  <r>
    <n v="193"/>
    <s v="CA-2015-102281"/>
    <d v="2015-10-12T00:00:00"/>
    <d v="2015-10-14T00:00:00"/>
    <s v="First Class"/>
    <s v="MP-17470"/>
    <s v="Mark Packer"/>
    <s v="Home Office"/>
    <s v="United States"/>
    <x v="20"/>
    <s v="New York"/>
    <n v="10035"/>
    <s v="East"/>
    <s v="FUR-BO-10002545"/>
    <x v="0"/>
    <x v="0"/>
    <s v="Snake Plant"/>
    <n v="626.35200000000009"/>
    <n v="3"/>
    <m/>
    <n v="563.71680000000003"/>
    <n v="0"/>
    <n v="0"/>
    <n v="0.89999999999999991"/>
  </r>
  <r>
    <n v="194"/>
    <s v="CA-2015-102281"/>
    <d v="2015-10-12T00:00:00"/>
    <d v="2015-10-14T00:00:00"/>
    <s v="First Class"/>
    <s v="MP-17470"/>
    <s v="Mark Packer"/>
    <s v="Home Office"/>
    <s v="United States"/>
    <x v="20"/>
    <s v="New York"/>
    <n v="10035"/>
    <s v="East"/>
    <s v="OFF-AR-10003514"/>
    <x v="0"/>
    <x v="1"/>
    <s v="Peace Lily"/>
    <n v="19.899999999999999"/>
    <n v="5"/>
    <m/>
    <n v="29.849999999999998"/>
    <n v="0.05"/>
    <n v="0.995"/>
    <n v="1.5"/>
  </r>
  <r>
    <n v="195"/>
    <s v="CA-2015-131457"/>
    <d v="2015-10-31T00:00:00"/>
    <d v="2015-11-06T00:00:00"/>
    <s v="Standard Class"/>
    <s v="MZ-17515"/>
    <s v="Mary Zewe"/>
    <s v="Corporate"/>
    <s v="United States"/>
    <x v="56"/>
    <s v="California"/>
    <n v="92374"/>
    <s v="West"/>
    <s v="OFF-EN-10001509"/>
    <x v="0"/>
    <x v="2"/>
    <s v="Aloe Vera"/>
    <n v="14.28"/>
    <n v="7"/>
    <m/>
    <n v="29.987999999999996"/>
    <n v="0.05"/>
    <n v="0.71399999999999997"/>
    <n v="2.0999999999999996"/>
  </r>
  <r>
    <n v="196"/>
    <s v="CA-2014-140004"/>
    <d v="2014-03-21T00:00:00"/>
    <d v="2014-03-25T00:00:00"/>
    <s v="Standard Class"/>
    <s v="CB-12025"/>
    <s v="Cassandra Brandow"/>
    <s v="Consumer"/>
    <s v="United States"/>
    <x v="57"/>
    <s v="Ohio"/>
    <n v="45011"/>
    <s v="East"/>
    <s v="OFF-AR-10004685"/>
    <x v="0"/>
    <x v="0"/>
    <s v="Spider Plant"/>
    <n v="7.4080000000000004"/>
    <n v="2"/>
    <m/>
    <n v="4.4447999999999999"/>
    <n v="0"/>
    <n v="0"/>
    <n v="0.6"/>
  </r>
  <r>
    <n v="197"/>
    <s v="CA-2014-140004"/>
    <d v="2014-03-21T00:00:00"/>
    <d v="2014-03-25T00:00:00"/>
    <s v="Standard Class"/>
    <s v="CB-12025"/>
    <s v="Cassandra Brandow"/>
    <s v="Consumer"/>
    <s v="United States"/>
    <x v="57"/>
    <s v="Ohio"/>
    <n v="45011"/>
    <s v="East"/>
    <s v="OFF-AR-10004027"/>
    <x v="0"/>
    <x v="3"/>
    <s v="Pothos"/>
    <n v="6.048"/>
    <n v="3"/>
    <m/>
    <n v="5.4431999999999992"/>
    <n v="0"/>
    <n v="0"/>
    <n v="0.8999999999999998"/>
  </r>
  <r>
    <n v="198"/>
    <s v="CA-2017-107720"/>
    <d v="2017-11-06T00:00:00"/>
    <d v="2017-11-13T00:00:00"/>
    <s v="Standard Class"/>
    <s v="VM-21685"/>
    <s v="Valerie Mitchum"/>
    <s v="Home Office"/>
    <s v="United States"/>
    <x v="58"/>
    <s v="New Jersey"/>
    <n v="7090"/>
    <s v="East"/>
    <s v="OFF-ST-10001414"/>
    <x v="0"/>
    <x v="4"/>
    <s v="Monstera"/>
    <n v="46.26"/>
    <n v="3"/>
    <m/>
    <n v="41.634"/>
    <n v="0"/>
    <n v="0"/>
    <n v="0.9"/>
  </r>
  <r>
    <n v="199"/>
    <s v="US-2017-124303"/>
    <d v="2017-07-06T00:00:00"/>
    <d v="2017-07-13T00:00:00"/>
    <s v="Standard Class"/>
    <s v="FH-14365"/>
    <s v="Fred Hopkins"/>
    <s v="Corporate"/>
    <s v="United States"/>
    <x v="10"/>
    <s v="Pennsylvania"/>
    <n v="19120"/>
    <s v="East"/>
    <s v="OFF-BI-10000343"/>
    <x v="0"/>
    <x v="0"/>
    <s v="ZZ Plant"/>
    <n v="2.9460000000000011"/>
    <n v="2"/>
    <m/>
    <n v="1.7676000000000005"/>
    <n v="0"/>
    <n v="0"/>
    <n v="0.6"/>
  </r>
  <r>
    <n v="200"/>
    <s v="US-2017-124303"/>
    <d v="2017-07-06T00:00:00"/>
    <d v="2017-07-13T00:00:00"/>
    <s v="Standard Class"/>
    <s v="FH-14365"/>
    <s v="Fred Hopkins"/>
    <s v="Corporate"/>
    <s v="United States"/>
    <x v="10"/>
    <s v="Pennsylvania"/>
    <n v="19120"/>
    <s v="East"/>
    <s v="OFF-PA-10002749"/>
    <x v="0"/>
    <x v="0"/>
    <s v="Rubber Plant"/>
    <n v="16.056000000000001"/>
    <n v="3"/>
    <m/>
    <n v="14.450400000000002"/>
    <n v="0"/>
    <n v="0"/>
    <n v="0.9"/>
  </r>
  <r>
    <n v="201"/>
    <s v="CA-2017-105074"/>
    <d v="2017-06-24T00:00:00"/>
    <d v="2017-06-29T00:00:00"/>
    <s v="Standard Class"/>
    <s v="MB-17305"/>
    <s v="Maria Bertelson"/>
    <s v="Consumer"/>
    <s v="United States"/>
    <x v="59"/>
    <s v="Ohio"/>
    <n v="44312"/>
    <s v="East"/>
    <s v="OFF-PA-10002666"/>
    <x v="0"/>
    <x v="2"/>
    <s v="Jade Plant"/>
    <n v="21.744"/>
    <n v="3"/>
    <m/>
    <n v="19.569599999999998"/>
    <n v="0"/>
    <n v="0"/>
    <n v="0.89999999999999991"/>
  </r>
  <r>
    <n v="202"/>
    <s v="CA-2014-133690"/>
    <d v="2014-08-03T00:00:00"/>
    <d v="2014-08-05T00:00:00"/>
    <s v="First Class"/>
    <s v="BS-11755"/>
    <s v="Bruce Stewart"/>
    <s v="Consumer"/>
    <s v="United States"/>
    <x v="60"/>
    <s v="Colorado"/>
    <n v="80219"/>
    <s v="West"/>
    <s v="FUR-TA-10004289"/>
    <x v="0"/>
    <x v="5"/>
    <s v="Fiddle Leaf Fig"/>
    <n v="218.75"/>
    <n v="2"/>
    <m/>
    <n v="131.25"/>
    <n v="0"/>
    <n v="0"/>
    <n v="0.6"/>
  </r>
  <r>
    <n v="203"/>
    <s v="CA-2014-133690"/>
    <d v="2014-08-03T00:00:00"/>
    <d v="2014-08-05T00:00:00"/>
    <s v="First Class"/>
    <s v="BS-11755"/>
    <s v="Bruce Stewart"/>
    <s v="Consumer"/>
    <s v="United States"/>
    <x v="60"/>
    <s v="Colorado"/>
    <n v="80219"/>
    <s v="West"/>
    <s v="OFF-AP-10003622"/>
    <x v="0"/>
    <x v="4"/>
    <s v="Areca Palm"/>
    <n v="2.6"/>
    <n v="1"/>
    <m/>
    <n v="0.78"/>
    <n v="0"/>
    <n v="0"/>
    <n v="0.3"/>
  </r>
  <r>
    <n v="204"/>
    <s v="US-2017-116701"/>
    <d v="2017-12-17T00:00:00"/>
    <d v="2017-12-21T00:00:00"/>
    <s v="Second Class"/>
    <s v="LC-17140"/>
    <s v="Logan Currie"/>
    <s v="Consumer"/>
    <s v="United States"/>
    <x v="61"/>
    <s v="Texas"/>
    <n v="75220"/>
    <s v="Central"/>
    <s v="OFF-AP-10003217"/>
    <x v="0"/>
    <x v="6"/>
    <s v="Boston Fern"/>
    <n v="66.283999999999992"/>
    <n v="2"/>
    <m/>
    <n v="39.770399999999995"/>
    <n v="0"/>
    <n v="0"/>
    <n v="0.6"/>
  </r>
  <r>
    <n v="205"/>
    <s v="CA-2017-126382"/>
    <d v="2017-06-03T00:00:00"/>
    <d v="2017-06-07T00:00:00"/>
    <s v="Standard Class"/>
    <s v="HK-14890"/>
    <s v="Heather Kirkland"/>
    <s v="Corporate"/>
    <s v="United States"/>
    <x v="47"/>
    <s v="Tennessee"/>
    <n v="37064"/>
    <s v="South"/>
    <s v="FUR-FU-10002960"/>
    <x v="0"/>
    <x v="0"/>
    <s v="Snake Plant"/>
    <n v="35.168000000000013"/>
    <n v="7"/>
    <m/>
    <n v="73.85280000000003"/>
    <n v="0.05"/>
    <n v="1.7584000000000009"/>
    <n v="2.1"/>
  </r>
  <r>
    <n v="206"/>
    <s v="CA-2017-108329"/>
    <d v="2017-12-09T00:00:00"/>
    <d v="2017-12-14T00:00:00"/>
    <s v="Standard Class"/>
    <s v="LE-16810"/>
    <s v="Laurel Elliston"/>
    <s v="Consumer"/>
    <s v="United States"/>
    <x v="62"/>
    <s v="California"/>
    <n v="90604"/>
    <s v="West"/>
    <s v="TEC-PH-10001918"/>
    <x v="0"/>
    <x v="1"/>
    <s v="Peace Lily"/>
    <n v="444.76799999999997"/>
    <n v="4"/>
    <m/>
    <n v="533.72159999999997"/>
    <n v="0"/>
    <n v="0"/>
    <n v="1.2"/>
  </r>
  <r>
    <n v="207"/>
    <s v="CA-2017-135860"/>
    <d v="2017-12-01T00:00:00"/>
    <d v="2017-12-07T00:00:00"/>
    <s v="Standard Class"/>
    <s v="JH-15985"/>
    <s v="Joseph Holt"/>
    <s v="Consumer"/>
    <s v="United States"/>
    <x v="63"/>
    <s v="Michigan"/>
    <n v="48601"/>
    <s v="Central"/>
    <s v="OFF-ST-10000642"/>
    <x v="0"/>
    <x v="2"/>
    <s v="Aloe Vera"/>
    <n v="83.92"/>
    <n v="4"/>
    <m/>
    <n v="100.70399999999999"/>
    <n v="0"/>
    <n v="0"/>
    <n v="1.2"/>
  </r>
  <r>
    <n v="208"/>
    <s v="CA-2017-135860"/>
    <d v="2017-12-01T00:00:00"/>
    <d v="2017-12-07T00:00:00"/>
    <s v="Standard Class"/>
    <s v="JH-15985"/>
    <s v="Joseph Holt"/>
    <s v="Consumer"/>
    <s v="United States"/>
    <x v="63"/>
    <s v="Michigan"/>
    <n v="48601"/>
    <s v="Central"/>
    <s v="TEC-PH-10001700"/>
    <x v="0"/>
    <x v="0"/>
    <s v="Spider Plant"/>
    <n v="131.97999999999999"/>
    <n v="2"/>
    <m/>
    <n v="79.187999999999988"/>
    <n v="0"/>
    <n v="0"/>
    <n v="0.6"/>
  </r>
  <r>
    <n v="209"/>
    <s v="CA-2017-135860"/>
    <d v="2017-12-01T00:00:00"/>
    <d v="2017-12-07T00:00:00"/>
    <s v="Standard Class"/>
    <s v="JH-15985"/>
    <s v="Joseph Holt"/>
    <s v="Consumer"/>
    <s v="United States"/>
    <x v="63"/>
    <s v="Michigan"/>
    <n v="48601"/>
    <s v="Central"/>
    <s v="OFF-BI-10003274"/>
    <x v="0"/>
    <x v="3"/>
    <s v="Pothos"/>
    <n v="15.92"/>
    <n v="4"/>
    <m/>
    <n v="19.103999999999999"/>
    <n v="0"/>
    <n v="0"/>
    <n v="1.2"/>
  </r>
  <r>
    <n v="210"/>
    <s v="CA-2017-135860"/>
    <d v="2017-12-01T00:00:00"/>
    <d v="2017-12-07T00:00:00"/>
    <s v="Standard Class"/>
    <s v="JH-15985"/>
    <s v="Joseph Holt"/>
    <s v="Consumer"/>
    <s v="United States"/>
    <x v="63"/>
    <s v="Michigan"/>
    <n v="48601"/>
    <s v="Central"/>
    <s v="OFF-FA-10000134"/>
    <x v="0"/>
    <x v="4"/>
    <s v="Monstera"/>
    <n v="52.29"/>
    <n v="9"/>
    <m/>
    <n v="141.18299999999999"/>
    <n v="0.05"/>
    <n v="2.6145"/>
    <n v="2.6999999999999997"/>
  </r>
  <r>
    <n v="211"/>
    <s v="CA-2017-135860"/>
    <d v="2017-12-01T00:00:00"/>
    <d v="2017-12-07T00:00:00"/>
    <s v="Standard Class"/>
    <s v="JH-15985"/>
    <s v="Joseph Holt"/>
    <s v="Consumer"/>
    <s v="United States"/>
    <x v="63"/>
    <s v="Michigan"/>
    <n v="48601"/>
    <s v="Central"/>
    <s v="OFF-ST-10001522"/>
    <x v="0"/>
    <x v="0"/>
    <s v="ZZ Plant"/>
    <n v="91.99"/>
    <n v="1"/>
    <m/>
    <n v="27.596999999999998"/>
    <n v="0"/>
    <n v="0"/>
    <n v="0.3"/>
  </r>
  <r>
    <n v="212"/>
    <s v="CA-2015-101007"/>
    <d v="2015-02-09T00:00:00"/>
    <d v="2015-02-13T00:00:00"/>
    <s v="Second Class"/>
    <s v="MS-17980"/>
    <s v="Michael Stewart"/>
    <s v="Corporate"/>
    <s v="United States"/>
    <x v="61"/>
    <s v="Texas"/>
    <n v="75220"/>
    <s v="Central"/>
    <s v="TEC-AC-10001266"/>
    <x v="0"/>
    <x v="0"/>
    <s v="Rubber Plant"/>
    <n v="20.8"/>
    <n v="2"/>
    <m/>
    <n v="12.48"/>
    <n v="0"/>
    <n v="0"/>
    <n v="0.6"/>
  </r>
  <r>
    <n v="213"/>
    <s v="CA-2015-146262"/>
    <d v="2015-01-02T00:00:00"/>
    <d v="2015-01-09T00:00:00"/>
    <s v="Standard Class"/>
    <s v="VW-21775"/>
    <s v="Victoria Wilson"/>
    <s v="Corporate"/>
    <s v="United States"/>
    <x v="64"/>
    <s v="Ohio"/>
    <n v="44256"/>
    <s v="East"/>
    <s v="OFF-LA-10004544"/>
    <x v="0"/>
    <x v="2"/>
    <s v="Jade Plant"/>
    <n v="23.68"/>
    <n v="2"/>
    <m/>
    <n v="14.208"/>
    <n v="0"/>
    <n v="0"/>
    <n v="0.6"/>
  </r>
  <r>
    <n v="214"/>
    <s v="CA-2015-146262"/>
    <d v="2015-01-02T00:00:00"/>
    <d v="2015-01-09T00:00:00"/>
    <s v="Standard Class"/>
    <s v="VW-21775"/>
    <s v="Victoria Wilson"/>
    <s v="Corporate"/>
    <s v="United States"/>
    <x v="64"/>
    <s v="Ohio"/>
    <n v="44256"/>
    <s v="East"/>
    <s v="FUR-BO-10004695"/>
    <x v="0"/>
    <x v="5"/>
    <s v="Fiddle Leaf Fig"/>
    <n v="452.45"/>
    <n v="5"/>
    <m/>
    <n v="678.67499999999995"/>
    <n v="0.05"/>
    <n v="22.622500000000002"/>
    <n v="1.5"/>
  </r>
  <r>
    <n v="215"/>
    <s v="CA-2015-146262"/>
    <d v="2015-01-02T00:00:00"/>
    <d v="2015-01-09T00:00:00"/>
    <s v="Standard Class"/>
    <s v="VW-21775"/>
    <s v="Victoria Wilson"/>
    <s v="Corporate"/>
    <s v="United States"/>
    <x v="64"/>
    <s v="Ohio"/>
    <n v="44256"/>
    <s v="East"/>
    <s v="TEC-PH-10002844"/>
    <x v="0"/>
    <x v="4"/>
    <s v="Areca Palm"/>
    <n v="62.981999999999999"/>
    <n v="3"/>
    <m/>
    <n v="56.683799999999998"/>
    <n v="0"/>
    <n v="0"/>
    <n v="0.9"/>
  </r>
  <r>
    <n v="216"/>
    <s v="CA-2015-146262"/>
    <d v="2015-01-02T00:00:00"/>
    <d v="2015-01-09T00:00:00"/>
    <s v="Standard Class"/>
    <s v="VW-21775"/>
    <s v="Victoria Wilson"/>
    <s v="Corporate"/>
    <s v="United States"/>
    <x v="64"/>
    <s v="Ohio"/>
    <n v="44256"/>
    <s v="East"/>
    <s v="TEC-MA-10000864"/>
    <x v="0"/>
    <x v="6"/>
    <s v="Boston Fern"/>
    <n v="1188"/>
    <n v="9"/>
    <m/>
    <n v="3207.6"/>
    <n v="0.05"/>
    <n v="59.400000000000006"/>
    <n v="2.6999999999999997"/>
  </r>
  <r>
    <n v="217"/>
    <s v="CA-2015-146262"/>
    <d v="2015-01-02T00:00:00"/>
    <d v="2015-01-09T00:00:00"/>
    <s v="Standard Class"/>
    <s v="VW-21775"/>
    <s v="Victoria Wilson"/>
    <s v="Corporate"/>
    <s v="United States"/>
    <x v="64"/>
    <s v="Ohio"/>
    <n v="44256"/>
    <s v="East"/>
    <s v="TEC-AC-10000109"/>
    <x v="0"/>
    <x v="0"/>
    <s v="Snake Plant"/>
    <n v="89.584000000000003"/>
    <n v="2"/>
    <m/>
    <n v="53.750399999999999"/>
    <n v="0"/>
    <n v="0"/>
    <n v="0.6"/>
  </r>
  <r>
    <n v="218"/>
    <s v="CA-2016-130162"/>
    <d v="2016-10-28T00:00:00"/>
    <d v="2016-11-01T00:00:00"/>
    <s v="Standard Class"/>
    <s v="JH-15910"/>
    <s v="Jonathan Howell"/>
    <s v="Consumer"/>
    <s v="United States"/>
    <x v="1"/>
    <s v="California"/>
    <n v="90032"/>
    <s v="West"/>
    <s v="OFF-ST-10001328"/>
    <x v="0"/>
    <x v="1"/>
    <s v="Peace Lily"/>
    <n v="93.06"/>
    <n v="6"/>
    <m/>
    <n v="167.50800000000001"/>
    <n v="0.05"/>
    <n v="4.6530000000000005"/>
    <n v="1.8"/>
  </r>
  <r>
    <n v="219"/>
    <s v="CA-2016-130162"/>
    <d v="2016-10-28T00:00:00"/>
    <d v="2016-11-01T00:00:00"/>
    <s v="Standard Class"/>
    <s v="JH-15910"/>
    <s v="Jonathan Howell"/>
    <s v="Consumer"/>
    <s v="United States"/>
    <x v="1"/>
    <s v="California"/>
    <n v="90032"/>
    <s v="West"/>
    <s v="TEC-PH-10002563"/>
    <x v="0"/>
    <x v="2"/>
    <s v="Aloe Vera"/>
    <n v="302.37599999999998"/>
    <n v="3"/>
    <m/>
    <n v="272.13839999999999"/>
    <n v="0"/>
    <n v="0"/>
    <n v="0.9"/>
  </r>
  <r>
    <n v="220"/>
    <s v="CA-2015-169397"/>
    <d v="2015-12-24T00:00:00"/>
    <d v="2015-12-27T00:00:00"/>
    <s v="First Class"/>
    <s v="JB-15925"/>
    <s v="Joni Blumstein"/>
    <s v="Consumer"/>
    <s v="United States"/>
    <x v="65"/>
    <s v="Ohio"/>
    <n v="43017"/>
    <s v="East"/>
    <s v="OFF-FA-10000585"/>
    <x v="0"/>
    <x v="0"/>
    <s v="Spider Plant"/>
    <n v="5.5840000000000014"/>
    <n v="2"/>
    <m/>
    <n v="3.3504000000000009"/>
    <n v="0"/>
    <n v="0"/>
    <n v="0.6"/>
  </r>
  <r>
    <n v="221"/>
    <s v="CA-2015-169397"/>
    <d v="2015-12-24T00:00:00"/>
    <d v="2015-12-27T00:00:00"/>
    <s v="First Class"/>
    <s v="JB-15925"/>
    <s v="Joni Blumstein"/>
    <s v="Consumer"/>
    <s v="United States"/>
    <x v="65"/>
    <s v="Ohio"/>
    <n v="43017"/>
    <s v="East"/>
    <s v="OFF-PA-10004000"/>
    <x v="0"/>
    <x v="3"/>
    <s v="Pothos"/>
    <n v="22.704000000000001"/>
    <n v="6"/>
    <m/>
    <n v="40.867199999999997"/>
    <n v="0.05"/>
    <n v="1.1352"/>
    <n v="1.7999999999999998"/>
  </r>
  <r>
    <n v="222"/>
    <s v="CA-2015-169397"/>
    <d v="2015-12-24T00:00:00"/>
    <d v="2015-12-27T00:00:00"/>
    <s v="First Class"/>
    <s v="JB-15925"/>
    <s v="Joni Blumstein"/>
    <s v="Consumer"/>
    <s v="United States"/>
    <x v="65"/>
    <s v="Ohio"/>
    <n v="43017"/>
    <s v="East"/>
    <s v="OFF-BI-10002852"/>
    <x v="0"/>
    <x v="4"/>
    <s v="Monstera"/>
    <n v="19.776"/>
    <n v="4"/>
    <m/>
    <n v="23.731199999999998"/>
    <n v="0"/>
    <n v="0"/>
    <n v="1.2"/>
  </r>
  <r>
    <n v="223"/>
    <s v="CA-2015-169397"/>
    <d v="2015-12-24T00:00:00"/>
    <d v="2015-12-27T00:00:00"/>
    <s v="First Class"/>
    <s v="JB-15925"/>
    <s v="Joni Blumstein"/>
    <s v="Consumer"/>
    <s v="United States"/>
    <x v="65"/>
    <s v="Ohio"/>
    <n v="43017"/>
    <s v="East"/>
    <s v="FUR-FU-10000087"/>
    <x v="0"/>
    <x v="0"/>
    <s v="ZZ Plant"/>
    <n v="72.703999999999994"/>
    <n v="4"/>
    <m/>
    <n v="87.244799999999984"/>
    <n v="0"/>
    <n v="0"/>
    <n v="1.2"/>
  </r>
  <r>
    <n v="224"/>
    <s v="CA-2015-169397"/>
    <d v="2015-12-24T00:00:00"/>
    <d v="2015-12-27T00:00:00"/>
    <s v="First Class"/>
    <s v="JB-15925"/>
    <s v="Joni Blumstein"/>
    <s v="Consumer"/>
    <s v="United States"/>
    <x v="65"/>
    <s v="Ohio"/>
    <n v="43017"/>
    <s v="East"/>
    <s v="TEC-MA-10001148"/>
    <x v="0"/>
    <x v="0"/>
    <s v="Rubber Plant"/>
    <n v="479.98800000000011"/>
    <n v="4"/>
    <m/>
    <n v="575.98560000000009"/>
    <n v="0"/>
    <n v="0"/>
    <n v="1.2"/>
  </r>
  <r>
    <n v="225"/>
    <s v="CA-2015-169397"/>
    <d v="2015-12-24T00:00:00"/>
    <d v="2015-12-27T00:00:00"/>
    <s v="First Class"/>
    <s v="JB-15925"/>
    <s v="Joni Blumstein"/>
    <s v="Consumer"/>
    <s v="United States"/>
    <x v="65"/>
    <s v="Ohio"/>
    <n v="43017"/>
    <s v="East"/>
    <s v="OFF-AR-10001958"/>
    <x v="0"/>
    <x v="2"/>
    <s v="Jade Plant"/>
    <n v="27.167999999999999"/>
    <n v="2"/>
    <m/>
    <n v="16.300799999999999"/>
    <n v="0"/>
    <n v="0"/>
    <n v="0.6"/>
  </r>
  <r>
    <n v="226"/>
    <s v="CA-2015-163055"/>
    <d v="2015-08-09T00:00:00"/>
    <d v="2015-08-16T00:00:00"/>
    <s v="Standard Class"/>
    <s v="DS-13180"/>
    <s v="David Smith"/>
    <s v="Corporate"/>
    <s v="United States"/>
    <x v="66"/>
    <s v="Michigan"/>
    <n v="48227"/>
    <s v="Central"/>
    <s v="OFF-AR-10001026"/>
    <x v="0"/>
    <x v="5"/>
    <s v="Fiddle Leaf Fig"/>
    <n v="2.2000000000000002"/>
    <n v="1"/>
    <m/>
    <n v="0.66"/>
    <n v="0"/>
    <n v="0"/>
    <n v="0.3"/>
  </r>
  <r>
    <n v="227"/>
    <s v="CA-2015-163055"/>
    <d v="2015-08-09T00:00:00"/>
    <d v="2015-08-16T00:00:00"/>
    <s v="Standard Class"/>
    <s v="DS-13180"/>
    <s v="David Smith"/>
    <s v="Corporate"/>
    <s v="United States"/>
    <x v="66"/>
    <s v="Michigan"/>
    <n v="48227"/>
    <s v="Central"/>
    <s v="FUR-TA-10003748"/>
    <x v="0"/>
    <x v="4"/>
    <s v="Areca Palm"/>
    <n v="622.44999999999993"/>
    <n v="5"/>
    <m/>
    <n v="933.67499999999984"/>
    <n v="0.05"/>
    <n v="31.122499999999999"/>
    <n v="1.5"/>
  </r>
  <r>
    <n v="228"/>
    <s v="CA-2015-163055"/>
    <d v="2015-08-09T00:00:00"/>
    <d v="2015-08-16T00:00:00"/>
    <s v="Standard Class"/>
    <s v="DS-13180"/>
    <s v="David Smith"/>
    <s v="Corporate"/>
    <s v="United States"/>
    <x v="66"/>
    <s v="Michigan"/>
    <n v="48227"/>
    <s v="Central"/>
    <s v="OFF-ST-10002485"/>
    <x v="0"/>
    <x v="6"/>
    <s v="Boston Fern"/>
    <n v="21.98"/>
    <n v="1"/>
    <m/>
    <n v="6.5940000000000003"/>
    <n v="0"/>
    <n v="0"/>
    <n v="0.3"/>
  </r>
  <r>
    <n v="229"/>
    <s v="US-2015-145436"/>
    <d v="2015-02-28T00:00:00"/>
    <d v="2015-03-04T00:00:00"/>
    <s v="Standard Class"/>
    <s v="VD-21670"/>
    <s v="Valerie Dominguez"/>
    <s v="Consumer"/>
    <s v="United States"/>
    <x v="29"/>
    <s v="Tennessee"/>
    <n v="38401"/>
    <s v="South"/>
    <s v="FUR-CH-10004860"/>
    <x v="0"/>
    <x v="0"/>
    <s v="Snake Plant"/>
    <n v="161.56800000000001"/>
    <n v="2"/>
    <m/>
    <n v="96.94080000000001"/>
    <n v="0"/>
    <n v="0"/>
    <n v="0.6"/>
  </r>
  <r>
    <n v="230"/>
    <s v="US-2015-145436"/>
    <d v="2015-02-28T00:00:00"/>
    <d v="2015-03-04T00:00:00"/>
    <s v="Standard Class"/>
    <s v="VD-21670"/>
    <s v="Valerie Dominguez"/>
    <s v="Consumer"/>
    <s v="United States"/>
    <x v="29"/>
    <s v="Tennessee"/>
    <n v="38401"/>
    <s v="South"/>
    <s v="FUR-CH-10004477"/>
    <x v="0"/>
    <x v="1"/>
    <s v="Peace Lily"/>
    <n v="389.69600000000003"/>
    <n v="8"/>
    <m/>
    <n v="935.2704"/>
    <n v="0.05"/>
    <n v="19.484800000000003"/>
    <n v="2.4"/>
  </r>
  <r>
    <n v="231"/>
    <s v="US-2014-156216"/>
    <d v="2014-09-13T00:00:00"/>
    <d v="2014-09-17T00:00:00"/>
    <s v="Standard Class"/>
    <s v="EA-14035"/>
    <s v="Erin Ashbrook"/>
    <s v="Corporate"/>
    <s v="United States"/>
    <x v="35"/>
    <s v="North Carolina"/>
    <n v="28205"/>
    <s v="South"/>
    <s v="OFF-BI-10001679"/>
    <x v="0"/>
    <x v="2"/>
    <s v="Aloe Vera"/>
    <n v="18.648"/>
    <n v="7"/>
    <m/>
    <n v="39.160800000000002"/>
    <n v="0.05"/>
    <n v="0.93240000000000001"/>
    <n v="2.1"/>
  </r>
  <r>
    <n v="232"/>
    <s v="US-2017-100930"/>
    <d v="2017-04-07T00:00:00"/>
    <d v="2017-04-12T00:00:00"/>
    <s v="Standard Class"/>
    <s v="CS-12400"/>
    <s v="Christopher Schild"/>
    <s v="Home Office"/>
    <s v="United States"/>
    <x v="67"/>
    <s v="Florida"/>
    <n v="33614"/>
    <s v="South"/>
    <s v="FUR-TA-10001705"/>
    <x v="0"/>
    <x v="0"/>
    <s v="Spider Plant"/>
    <n v="233.86"/>
    <n v="2"/>
    <m/>
    <n v="140.316"/>
    <n v="0"/>
    <n v="0"/>
    <n v="0.6"/>
  </r>
  <r>
    <n v="233"/>
    <s v="US-2017-100930"/>
    <d v="2017-04-07T00:00:00"/>
    <d v="2017-04-12T00:00:00"/>
    <s v="Standard Class"/>
    <s v="CS-12400"/>
    <s v="Christopher Schild"/>
    <s v="Home Office"/>
    <s v="United States"/>
    <x v="67"/>
    <s v="Florida"/>
    <n v="33614"/>
    <s v="South"/>
    <s v="FUR-TA-10003473"/>
    <x v="0"/>
    <x v="3"/>
    <s v="Pothos"/>
    <n v="620.61450000000013"/>
    <n v="3"/>
    <m/>
    <n v="558.5530500000001"/>
    <n v="0"/>
    <n v="0"/>
    <n v="0.89999999999999991"/>
  </r>
  <r>
    <n v="234"/>
    <s v="US-2017-100930"/>
    <d v="2017-04-07T00:00:00"/>
    <d v="2017-04-12T00:00:00"/>
    <s v="Standard Class"/>
    <s v="CS-12400"/>
    <s v="Christopher Schild"/>
    <s v="Home Office"/>
    <s v="United States"/>
    <x v="67"/>
    <s v="Florida"/>
    <n v="33614"/>
    <s v="South"/>
    <s v="OFF-BI-10001679"/>
    <x v="0"/>
    <x v="4"/>
    <s v="Monstera"/>
    <n v="5.3280000000000012"/>
    <n v="2"/>
    <m/>
    <n v="3.1968000000000005"/>
    <n v="0"/>
    <n v="0"/>
    <n v="0.6"/>
  </r>
  <r>
    <n v="235"/>
    <s v="US-2017-100930"/>
    <d v="2017-04-07T00:00:00"/>
    <d v="2017-04-12T00:00:00"/>
    <s v="Standard Class"/>
    <s v="CS-12400"/>
    <s v="Christopher Schild"/>
    <s v="Home Office"/>
    <s v="United States"/>
    <x v="67"/>
    <s v="Florida"/>
    <n v="33614"/>
    <s v="South"/>
    <s v="FUR-FU-10004017"/>
    <x v="0"/>
    <x v="0"/>
    <s v="ZZ Plant"/>
    <n v="258.072"/>
    <n v="3"/>
    <m/>
    <n v="232.26479999999998"/>
    <n v="0"/>
    <n v="0"/>
    <n v="0.89999999999999991"/>
  </r>
  <r>
    <n v="236"/>
    <s v="US-2017-100930"/>
    <d v="2017-04-07T00:00:00"/>
    <d v="2017-04-12T00:00:00"/>
    <s v="Standard Class"/>
    <s v="CS-12400"/>
    <s v="Christopher Schild"/>
    <s v="Home Office"/>
    <s v="United States"/>
    <x v="67"/>
    <s v="Florida"/>
    <n v="33614"/>
    <s v="South"/>
    <s v="TEC-AC-10003832"/>
    <x v="0"/>
    <x v="0"/>
    <s v="Rubber Plant"/>
    <n v="617.97600000000011"/>
    <n v="3"/>
    <m/>
    <n v="556.17840000000012"/>
    <n v="0"/>
    <n v="0"/>
    <n v="0.9"/>
  </r>
  <r>
    <n v="237"/>
    <s v="CA-2017-160514"/>
    <d v="2017-11-12T00:00:00"/>
    <d v="2017-11-16T00:00:00"/>
    <s v="Standard Class"/>
    <s v="DB-13120"/>
    <s v="David Bremer"/>
    <s v="Corporate"/>
    <s v="United States"/>
    <x v="68"/>
    <s v="California"/>
    <n v="95051"/>
    <s v="West"/>
    <s v="OFF-PA-10002479"/>
    <x v="0"/>
    <x v="2"/>
    <s v="Jade Plant"/>
    <n v="10.56"/>
    <n v="2"/>
    <m/>
    <n v="6.3360000000000003"/>
    <n v="0"/>
    <n v="0"/>
    <n v="0.6"/>
  </r>
  <r>
    <n v="238"/>
    <s v="CA-2016-157749"/>
    <d v="2016-06-04T00:00:00"/>
    <d v="2016-06-09T00:00:00"/>
    <s v="Second Class"/>
    <s v="KL-16645"/>
    <s v="Ken Lonsdale"/>
    <s v="Consumer"/>
    <s v="United States"/>
    <x v="22"/>
    <s v="Illinois"/>
    <n v="60610"/>
    <s v="Central"/>
    <s v="OFF-PA-10003349"/>
    <x v="0"/>
    <x v="5"/>
    <s v="Fiddle Leaf Fig"/>
    <n v="25.920000000000009"/>
    <n v="5"/>
    <m/>
    <n v="38.880000000000017"/>
    <n v="0.05"/>
    <n v="1.2960000000000005"/>
    <n v="1.5000000000000002"/>
  </r>
  <r>
    <n v="239"/>
    <s v="CA-2016-157749"/>
    <d v="2016-06-04T00:00:00"/>
    <d v="2016-06-09T00:00:00"/>
    <s v="Second Class"/>
    <s v="KL-16645"/>
    <s v="Ken Lonsdale"/>
    <s v="Consumer"/>
    <s v="United States"/>
    <x v="22"/>
    <s v="Illinois"/>
    <n v="60610"/>
    <s v="Central"/>
    <s v="FUR-FU-10000576"/>
    <x v="0"/>
    <x v="4"/>
    <s v="Areca Palm"/>
    <n v="419.68000000000012"/>
    <n v="5"/>
    <m/>
    <n v="629.5200000000001"/>
    <n v="0.05"/>
    <n v="20.984000000000009"/>
    <n v="1.4999999999999998"/>
  </r>
  <r>
    <n v="240"/>
    <s v="CA-2016-157749"/>
    <d v="2016-06-04T00:00:00"/>
    <d v="2016-06-09T00:00:00"/>
    <s v="Second Class"/>
    <s v="KL-16645"/>
    <s v="Ken Lonsdale"/>
    <s v="Consumer"/>
    <s v="United States"/>
    <x v="22"/>
    <s v="Illinois"/>
    <n v="60610"/>
    <s v="Central"/>
    <s v="FUR-FU-10004351"/>
    <x v="0"/>
    <x v="6"/>
    <s v="Boston Fern"/>
    <n v="11.688000000000001"/>
    <n v="3"/>
    <m/>
    <n v="10.5192"/>
    <n v="0"/>
    <n v="0"/>
    <n v="0.89999999999999991"/>
  </r>
  <r>
    <n v="241"/>
    <s v="CA-2016-157749"/>
    <d v="2016-06-04T00:00:00"/>
    <d v="2016-06-09T00:00:00"/>
    <s v="Second Class"/>
    <s v="KL-16645"/>
    <s v="Ken Lonsdale"/>
    <s v="Consumer"/>
    <s v="United States"/>
    <x v="22"/>
    <s v="Illinois"/>
    <n v="60610"/>
    <s v="Central"/>
    <s v="TEC-PH-10000011"/>
    <x v="0"/>
    <x v="0"/>
    <s v="Snake Plant"/>
    <n v="31.984000000000002"/>
    <n v="2"/>
    <m/>
    <n v="19.1904"/>
    <n v="0"/>
    <n v="0"/>
    <n v="0.6"/>
  </r>
  <r>
    <n v="242"/>
    <s v="CA-2016-157749"/>
    <d v="2016-06-04T00:00:00"/>
    <d v="2016-06-09T00:00:00"/>
    <s v="Second Class"/>
    <s v="KL-16645"/>
    <s v="Ken Lonsdale"/>
    <s v="Consumer"/>
    <s v="United States"/>
    <x v="22"/>
    <s v="Illinois"/>
    <n v="60610"/>
    <s v="Central"/>
    <s v="FUR-TA-10002607"/>
    <x v="0"/>
    <x v="1"/>
    <s v="Peace Lily"/>
    <n v="177.22499999999999"/>
    <n v="5"/>
    <m/>
    <n v="265.83749999999998"/>
    <n v="0.05"/>
    <n v="8.8612500000000001"/>
    <n v="1.5"/>
  </r>
  <r>
    <n v="243"/>
    <s v="CA-2016-157749"/>
    <d v="2016-06-04T00:00:00"/>
    <d v="2016-06-09T00:00:00"/>
    <s v="Second Class"/>
    <s v="KL-16645"/>
    <s v="Ken Lonsdale"/>
    <s v="Consumer"/>
    <s v="United States"/>
    <x v="22"/>
    <s v="Illinois"/>
    <n v="60610"/>
    <s v="Central"/>
    <s v="FUR-FU-10002505"/>
    <x v="0"/>
    <x v="2"/>
    <s v="Aloe Vera"/>
    <n v="4.0439999999999996"/>
    <n v="3"/>
    <m/>
    <n v="3.6395999999999993"/>
    <n v="0"/>
    <n v="0"/>
    <n v="0.89999999999999991"/>
  </r>
  <r>
    <n v="245"/>
    <s v="CA-2014-131926"/>
    <d v="2014-06-01T00:00:00"/>
    <d v="2014-06-06T00:00:00"/>
    <s v="Second Class"/>
    <s v="DW-13480"/>
    <s v="Dianna Wilson"/>
    <s v="Home Office"/>
    <s v="United States"/>
    <x v="69"/>
    <s v="Minnesota"/>
    <n v="55044"/>
    <s v="Central"/>
    <s v="FUR-CH-10004063"/>
    <x v="0"/>
    <x v="0"/>
    <s v="Spider Plant"/>
    <n v="2001.86"/>
    <n v="7"/>
    <m/>
    <n v="4203.905999999999"/>
    <n v="0.05"/>
    <n v="100.093"/>
    <n v="2.0999999999999996"/>
  </r>
  <r>
    <n v="246"/>
    <s v="CA-2014-131926"/>
    <d v="2014-06-01T00:00:00"/>
    <d v="2014-06-06T00:00:00"/>
    <s v="Second Class"/>
    <s v="DW-13480"/>
    <s v="Dianna Wilson"/>
    <s v="Home Office"/>
    <s v="United States"/>
    <x v="69"/>
    <s v="Minnesota"/>
    <n v="55044"/>
    <s v="Central"/>
    <s v="OFF-ST-10002276"/>
    <x v="0"/>
    <x v="3"/>
    <s v="Pothos"/>
    <n v="166.72"/>
    <n v="2"/>
    <m/>
    <n v="100.032"/>
    <n v="0"/>
    <n v="0"/>
    <n v="0.6"/>
  </r>
  <r>
    <n v="247"/>
    <s v="CA-2014-131926"/>
    <d v="2014-06-01T00:00:00"/>
    <d v="2014-06-06T00:00:00"/>
    <s v="Second Class"/>
    <s v="DW-13480"/>
    <s v="Dianna Wilson"/>
    <s v="Home Office"/>
    <s v="United States"/>
    <x v="69"/>
    <s v="Minnesota"/>
    <n v="55044"/>
    <s v="Central"/>
    <s v="OFF-PA-10004082"/>
    <x v="0"/>
    <x v="4"/>
    <s v="Monstera"/>
    <n v="47.88"/>
    <n v="6"/>
    <m/>
    <n v="86.184000000000012"/>
    <n v="0.05"/>
    <n v="2.3940000000000001"/>
    <n v="1.8"/>
  </r>
  <r>
    <n v="248"/>
    <s v="CA-2014-131926"/>
    <d v="2014-06-01T00:00:00"/>
    <d v="2014-06-06T00:00:00"/>
    <s v="Second Class"/>
    <s v="DW-13480"/>
    <s v="Dianna Wilson"/>
    <s v="Home Office"/>
    <s v="United States"/>
    <x v="69"/>
    <s v="Minnesota"/>
    <n v="55044"/>
    <s v="Central"/>
    <s v="OFF-AP-10002945"/>
    <x v="0"/>
    <x v="0"/>
    <s v="ZZ Plant"/>
    <n v="1503.25"/>
    <n v="5"/>
    <m/>
    <n v="2254.875"/>
    <n v="0.05"/>
    <n v="75.162500000000009"/>
    <n v="1.5"/>
  </r>
  <r>
    <n v="249"/>
    <s v="CA-2014-131926"/>
    <d v="2014-06-01T00:00:00"/>
    <d v="2014-06-06T00:00:00"/>
    <s v="Second Class"/>
    <s v="DW-13480"/>
    <s v="Dianna Wilson"/>
    <s v="Home Office"/>
    <s v="United States"/>
    <x v="69"/>
    <s v="Minnesota"/>
    <n v="55044"/>
    <s v="Central"/>
    <s v="OFF-PA-10000061"/>
    <x v="0"/>
    <x v="0"/>
    <s v="Rubber Plant"/>
    <n v="25.92"/>
    <n v="4"/>
    <m/>
    <n v="31.103999999999999"/>
    <n v="0"/>
    <n v="0"/>
    <n v="1.2"/>
  </r>
  <r>
    <n v="250"/>
    <s v="CA-2016-154739"/>
    <d v="2016-12-10T00:00:00"/>
    <d v="2016-12-15T00:00:00"/>
    <s v="Second Class"/>
    <s v="LH-17155"/>
    <s v="Logan Haushalter"/>
    <s v="Consumer"/>
    <s v="United States"/>
    <x v="8"/>
    <s v="California"/>
    <n v="94109"/>
    <s v="West"/>
    <s v="FUR-CH-10002965"/>
    <x v="0"/>
    <x v="2"/>
    <s v="Jade Plant"/>
    <n v="321.56799999999998"/>
    <n v="2"/>
    <m/>
    <n v="192.9408"/>
    <n v="0"/>
    <n v="0"/>
    <n v="0.6"/>
  </r>
  <r>
    <n v="251"/>
    <s v="CA-2016-145625"/>
    <d v="2016-09-11T00:00:00"/>
    <d v="2016-09-17T00:00:00"/>
    <s v="Standard Class"/>
    <s v="KC-16540"/>
    <s v="Kelly Collister"/>
    <s v="Consumer"/>
    <s v="United States"/>
    <x v="70"/>
    <s v="California"/>
    <n v="92037"/>
    <s v="West"/>
    <s v="OFF-PA-10004569"/>
    <x v="0"/>
    <x v="5"/>
    <s v="Fiddle Leaf Fig"/>
    <n v="7.61"/>
    <n v="1"/>
    <m/>
    <n v="2.2829999999999999"/>
    <n v="0"/>
    <n v="0"/>
    <n v="0.3"/>
  </r>
  <r>
    <n v="252"/>
    <s v="CA-2016-145625"/>
    <d v="2016-09-11T00:00:00"/>
    <d v="2016-09-17T00:00:00"/>
    <s v="Standard Class"/>
    <s v="KC-16540"/>
    <s v="Kelly Collister"/>
    <s v="Consumer"/>
    <s v="United States"/>
    <x v="70"/>
    <s v="California"/>
    <n v="92037"/>
    <s v="West"/>
    <s v="TEC-AC-10003832"/>
    <x v="0"/>
    <x v="4"/>
    <s v="Areca Palm"/>
    <n v="3347.37"/>
    <n v="13"/>
    <m/>
    <n v="13054.742999999999"/>
    <n v="7.4999999999999997E-2"/>
    <n v="251.05274999999997"/>
    <n v="3.9"/>
  </r>
  <r>
    <n v="253"/>
    <s v="CA-2016-146941"/>
    <d v="2016-12-10T00:00:00"/>
    <d v="2016-12-13T00:00:00"/>
    <s v="First Class"/>
    <s v="DL-13315"/>
    <s v="Delfina Latchford"/>
    <s v="Consumer"/>
    <s v="United States"/>
    <x v="20"/>
    <s v="New York"/>
    <n v="10024"/>
    <s v="East"/>
    <s v="OFF-ST-10001228"/>
    <x v="0"/>
    <x v="6"/>
    <s v="Boston Fern"/>
    <n v="80.58"/>
    <n v="6"/>
    <m/>
    <n v="145.04400000000001"/>
    <n v="0.05"/>
    <n v="4.0289999999999999"/>
    <n v="1.8000000000000003"/>
  </r>
  <r>
    <n v="254"/>
    <s v="CA-2016-146941"/>
    <d v="2016-12-10T00:00:00"/>
    <d v="2016-12-13T00:00:00"/>
    <s v="First Class"/>
    <s v="DL-13315"/>
    <s v="Delfina Latchford"/>
    <s v="Consumer"/>
    <s v="United States"/>
    <x v="20"/>
    <s v="New York"/>
    <n v="10024"/>
    <s v="East"/>
    <s v="OFF-EN-10003296"/>
    <x v="0"/>
    <x v="0"/>
    <s v="Snake Plant"/>
    <n v="361.92"/>
    <n v="4"/>
    <m/>
    <n v="434.30400000000003"/>
    <n v="0"/>
    <n v="0"/>
    <n v="1.2"/>
  </r>
  <r>
    <n v="255"/>
    <s v="US-2015-159982"/>
    <d v="2015-11-28T00:00:00"/>
    <d v="2015-12-04T00:00:00"/>
    <s v="Standard Class"/>
    <s v="DR-12880"/>
    <s v="Dan Reichenbach"/>
    <s v="Corporate"/>
    <s v="United States"/>
    <x v="22"/>
    <s v="Illinois"/>
    <n v="60623"/>
    <s v="Central"/>
    <s v="FUR-FU-10002505"/>
    <x v="0"/>
    <x v="1"/>
    <s v="Peace Lily"/>
    <n v="12.132"/>
    <n v="9"/>
    <m/>
    <n v="32.756399999999999"/>
    <n v="0.05"/>
    <n v="0.60660000000000003"/>
    <n v="2.7"/>
  </r>
  <r>
    <n v="256"/>
    <s v="US-2015-159982"/>
    <d v="2015-11-28T00:00:00"/>
    <d v="2015-12-04T00:00:00"/>
    <s v="Standard Class"/>
    <s v="DR-12880"/>
    <s v="Dan Reichenbach"/>
    <s v="Corporate"/>
    <s v="United States"/>
    <x v="22"/>
    <s v="Illinois"/>
    <n v="60623"/>
    <s v="Central"/>
    <s v="OFF-ST-10004804"/>
    <x v="0"/>
    <x v="2"/>
    <s v="Aloe Vera"/>
    <n v="82.367999999999995"/>
    <n v="2"/>
    <m/>
    <n v="49.420799999999993"/>
    <n v="0"/>
    <n v="0"/>
    <n v="0.6"/>
  </r>
  <r>
    <n v="257"/>
    <s v="US-2015-159982"/>
    <d v="2015-11-28T00:00:00"/>
    <d v="2015-12-04T00:00:00"/>
    <s v="Standard Class"/>
    <s v="DR-12880"/>
    <s v="Dan Reichenbach"/>
    <s v="Corporate"/>
    <s v="United States"/>
    <x v="22"/>
    <s v="Illinois"/>
    <n v="60623"/>
    <s v="Central"/>
    <s v="OFF-ST-10001590"/>
    <x v="0"/>
    <x v="0"/>
    <s v="Spider Plant"/>
    <n v="53.92"/>
    <n v="5"/>
    <m/>
    <n v="80.88000000000001"/>
    <n v="0.05"/>
    <n v="2.6960000000000002"/>
    <n v="1.5000000000000002"/>
  </r>
  <r>
    <n v="258"/>
    <s v="US-2015-159982"/>
    <d v="2015-11-28T00:00:00"/>
    <d v="2015-12-04T00:00:00"/>
    <s v="Standard Class"/>
    <s v="DR-12880"/>
    <s v="Dan Reichenbach"/>
    <s v="Corporate"/>
    <s v="United States"/>
    <x v="22"/>
    <s v="Illinois"/>
    <n v="60623"/>
    <s v="Central"/>
    <s v="TEC-PH-10001580"/>
    <x v="0"/>
    <x v="3"/>
    <s v="Pothos"/>
    <n v="647.904"/>
    <n v="6"/>
    <m/>
    <n v="1166.2272"/>
    <n v="0.05"/>
    <n v="32.395200000000003"/>
    <n v="1.8"/>
  </r>
  <r>
    <n v="259"/>
    <s v="CA-2017-163139"/>
    <d v="2017-12-01T00:00:00"/>
    <d v="2017-12-03T00:00:00"/>
    <s v="Second Class"/>
    <s v="CC-12670"/>
    <s v="Craig Carreira"/>
    <s v="Consumer"/>
    <s v="United States"/>
    <x v="20"/>
    <s v="New York"/>
    <n v="10009"/>
    <s v="East"/>
    <s v="TEC-AC-10000290"/>
    <x v="0"/>
    <x v="4"/>
    <s v="Monstera"/>
    <n v="20.37"/>
    <n v="3"/>
    <m/>
    <n v="18.332999999999998"/>
    <n v="0"/>
    <n v="0"/>
    <n v="0.89999999999999991"/>
  </r>
  <r>
    <n v="260"/>
    <s v="CA-2017-163139"/>
    <d v="2017-12-01T00:00:00"/>
    <d v="2017-12-03T00:00:00"/>
    <s v="Second Class"/>
    <s v="CC-12670"/>
    <s v="Craig Carreira"/>
    <s v="Consumer"/>
    <s v="United States"/>
    <x v="20"/>
    <s v="New York"/>
    <n v="10009"/>
    <s v="East"/>
    <s v="OFF-ST-10002790"/>
    <x v="0"/>
    <x v="0"/>
    <s v="ZZ Plant"/>
    <n v="221.55"/>
    <n v="3"/>
    <m/>
    <n v="199.39500000000001"/>
    <n v="0"/>
    <n v="0"/>
    <n v="0.9"/>
  </r>
  <r>
    <n v="261"/>
    <s v="CA-2017-163139"/>
    <d v="2017-12-01T00:00:00"/>
    <d v="2017-12-03T00:00:00"/>
    <s v="Second Class"/>
    <s v="CC-12670"/>
    <s v="Craig Carreira"/>
    <s v="Consumer"/>
    <s v="United States"/>
    <x v="20"/>
    <s v="New York"/>
    <n v="10009"/>
    <s v="East"/>
    <s v="OFF-BI-10003460"/>
    <x v="0"/>
    <x v="0"/>
    <s v="Rubber Plant"/>
    <n v="17.52"/>
    <n v="5"/>
    <m/>
    <n v="26.279999999999998"/>
    <n v="0.05"/>
    <n v="0.876"/>
    <n v="1.5"/>
  </r>
  <r>
    <n v="262"/>
    <s v="US-2017-155299"/>
    <d v="2017-06-08T00:00:00"/>
    <d v="2017-06-12T00:00:00"/>
    <s v="Standard Class"/>
    <s v="Dl-13600"/>
    <s v="Dorris liebe"/>
    <s v="Corporate"/>
    <s v="United States"/>
    <x v="45"/>
    <s v="Texas"/>
    <n v="77506"/>
    <s v="Central"/>
    <s v="OFF-AP-10002203"/>
    <x v="0"/>
    <x v="2"/>
    <s v="Jade Plant"/>
    <n v="1.623999999999999"/>
    <n v="2"/>
    <m/>
    <n v="0.97439999999999938"/>
    <n v="0"/>
    <n v="0"/>
    <n v="0.6"/>
  </r>
  <r>
    <n v="263"/>
    <s v="US-2014-106992"/>
    <d v="2014-09-19T00:00:00"/>
    <d v="2014-09-21T00:00:00"/>
    <s v="Second Class"/>
    <s v="SB-20290"/>
    <s v="Sean Braxton"/>
    <s v="Corporate"/>
    <s v="United States"/>
    <x v="12"/>
    <s v="Texas"/>
    <n v="77036"/>
    <s v="Central"/>
    <s v="TEC-MA-10000822"/>
    <x v="0"/>
    <x v="5"/>
    <s v="Fiddle Leaf Fig"/>
    <n v="3059.982"/>
    <n v="3"/>
    <m/>
    <n v="2753.9838"/>
    <n v="0"/>
    <n v="0"/>
    <n v="0.9"/>
  </r>
  <r>
    <n v="264"/>
    <s v="US-2014-106992"/>
    <d v="2014-09-19T00:00:00"/>
    <d v="2014-09-21T00:00:00"/>
    <s v="Second Class"/>
    <s v="SB-20290"/>
    <s v="Sean Braxton"/>
    <s v="Corporate"/>
    <s v="United States"/>
    <x v="12"/>
    <s v="Texas"/>
    <n v="77036"/>
    <s v="Central"/>
    <s v="TEC-MA-10003353"/>
    <x v="0"/>
    <x v="4"/>
    <s v="Areca Palm"/>
    <n v="2519.9580000000001"/>
    <n v="7"/>
    <m/>
    <n v="5291.9118000000008"/>
    <n v="0.05"/>
    <n v="125.99790000000002"/>
    <n v="2.1"/>
  </r>
  <r>
    <n v="265"/>
    <s v="CA-2016-125318"/>
    <d v="2016-06-06T00:00:00"/>
    <d v="2016-06-13T00:00:00"/>
    <s v="Standard Class"/>
    <s v="RC-19825"/>
    <s v="Roy Collins"/>
    <s v="Consumer"/>
    <s v="United States"/>
    <x v="22"/>
    <s v="Illinois"/>
    <n v="60610"/>
    <s v="Central"/>
    <s v="TEC-PH-10001433"/>
    <x v="0"/>
    <x v="6"/>
    <s v="Boston Fern"/>
    <n v="328.22399999999999"/>
    <n v="4"/>
    <m/>
    <n v="393.86879999999996"/>
    <n v="0"/>
    <n v="0"/>
    <n v="1.2"/>
  </r>
  <r>
    <n v="266"/>
    <s v="CA-2015-155040"/>
    <d v="2015-11-10T00:00:00"/>
    <d v="2015-11-15T00:00:00"/>
    <s v="Standard Class"/>
    <s v="AH-10210"/>
    <s v="Alan Hwang"/>
    <s v="Consumer"/>
    <s v="United States"/>
    <x v="71"/>
    <s v="California"/>
    <n v="94513"/>
    <s v="West"/>
    <s v="TEC-AC-10004469"/>
    <x v="0"/>
    <x v="0"/>
    <s v="Snake Plant"/>
    <n v="79.900000000000006"/>
    <n v="2"/>
    <m/>
    <n v="47.940000000000005"/>
    <n v="0"/>
    <n v="0"/>
    <n v="0.6"/>
  </r>
  <r>
    <n v="267"/>
    <s v="CA-2017-136826"/>
    <d v="2017-06-16T00:00:00"/>
    <d v="2017-06-20T00:00:00"/>
    <s v="Standard Class"/>
    <s v="CB-12535"/>
    <s v="Claudia Bergmann"/>
    <s v="Corporate"/>
    <s v="United States"/>
    <x v="72"/>
    <s v="North Carolina"/>
    <n v="27514"/>
    <s v="South"/>
    <s v="OFF-AR-10003602"/>
    <x v="0"/>
    <x v="1"/>
    <s v="Peace Lily"/>
    <n v="14.016"/>
    <n v="3"/>
    <m/>
    <n v="12.6144"/>
    <n v="0"/>
    <n v="0"/>
    <n v="0.9"/>
  </r>
  <r>
    <n v="268"/>
    <s v="CA-2016-111010"/>
    <d v="2016-01-22T00:00:00"/>
    <d v="2016-01-28T00:00:00"/>
    <s v="Standard Class"/>
    <s v="PG-18895"/>
    <s v="Paul Gonzalez"/>
    <s v="Consumer"/>
    <s v="United States"/>
    <x v="73"/>
    <s v="New Jersey"/>
    <n v="7960"/>
    <s v="East"/>
    <s v="OFF-FA-10003472"/>
    <x v="0"/>
    <x v="2"/>
    <s v="Aloe Vera"/>
    <n v="7.56"/>
    <n v="6"/>
    <m/>
    <n v="13.607999999999999"/>
    <n v="0.05"/>
    <n v="0.378"/>
    <n v="1.7999999999999998"/>
  </r>
  <r>
    <n v="269"/>
    <s v="US-2017-145366"/>
    <d v="2017-12-09T00:00:00"/>
    <d v="2017-12-13T00:00:00"/>
    <s v="Standard Class"/>
    <s v="CA-12310"/>
    <s v="Christine Abelman"/>
    <s v="Corporate"/>
    <s v="United States"/>
    <x v="74"/>
    <s v="Ohio"/>
    <n v="45231"/>
    <s v="East"/>
    <s v="OFF-ST-10004180"/>
    <x v="0"/>
    <x v="0"/>
    <s v="Spider Plant"/>
    <n v="37.207999999999998"/>
    <n v="1"/>
    <m/>
    <n v="11.1624"/>
    <n v="0"/>
    <n v="0"/>
    <n v="0.3"/>
  </r>
  <r>
    <n v="270"/>
    <s v="US-2017-145366"/>
    <d v="2017-12-09T00:00:00"/>
    <d v="2017-12-13T00:00:00"/>
    <s v="Standard Class"/>
    <s v="CA-12310"/>
    <s v="Christine Abelman"/>
    <s v="Corporate"/>
    <s v="United States"/>
    <x v="74"/>
    <s v="Ohio"/>
    <n v="45231"/>
    <s v="East"/>
    <s v="OFF-EN-10004386"/>
    <x v="0"/>
    <x v="3"/>
    <s v="Pothos"/>
    <n v="57.576000000000001"/>
    <n v="3"/>
    <m/>
    <n v="51.818400000000004"/>
    <n v="0"/>
    <n v="0"/>
    <n v="0.9"/>
  </r>
  <r>
    <n v="271"/>
    <s v="CA-2017-163979"/>
    <d v="2017-12-28T00:00:00"/>
    <d v="2018-01-02T00:00:00"/>
    <s v="Second Class"/>
    <s v="KH-16690"/>
    <s v="Kristen Hastings"/>
    <s v="Corporate"/>
    <s v="United States"/>
    <x v="8"/>
    <s v="California"/>
    <n v="94110"/>
    <s v="West"/>
    <s v="OFF-ST-10003208"/>
    <x v="0"/>
    <x v="4"/>
    <s v="Monstera"/>
    <n v="725.84"/>
    <n v="4"/>
    <m/>
    <n v="871.00800000000004"/>
    <n v="0"/>
    <n v="0"/>
    <n v="1.2"/>
  </r>
  <r>
    <n v="272"/>
    <s v="CA-2015-155334"/>
    <d v="2015-07-30T00:00:00"/>
    <d v="2015-07-31T00:00:00"/>
    <s v="First Class"/>
    <s v="HA-14920"/>
    <s v="Helen Andreada"/>
    <s v="Consumer"/>
    <s v="United States"/>
    <x v="8"/>
    <s v="California"/>
    <n v="94109"/>
    <s v="West"/>
    <s v="TEC-AC-10003628"/>
    <x v="0"/>
    <x v="0"/>
    <s v="ZZ Plant"/>
    <n v="209.93"/>
    <n v="7"/>
    <m/>
    <n v="440.85300000000001"/>
    <n v="0.05"/>
    <n v="10.496500000000001"/>
    <n v="2.1"/>
  </r>
  <r>
    <n v="273"/>
    <s v="CA-2015-155334"/>
    <d v="2015-07-30T00:00:00"/>
    <d v="2015-07-31T00:00:00"/>
    <s v="First Class"/>
    <s v="HA-14920"/>
    <s v="Helen Andreada"/>
    <s v="Consumer"/>
    <s v="United States"/>
    <x v="8"/>
    <s v="California"/>
    <n v="94109"/>
    <s v="West"/>
    <s v="FUR-FU-10003274"/>
    <x v="0"/>
    <x v="0"/>
    <s v="Rubber Plant"/>
    <n v="5.28"/>
    <n v="3"/>
    <m/>
    <n v="4.7519999999999998"/>
    <n v="0"/>
    <n v="0"/>
    <n v="0.89999999999999991"/>
  </r>
  <r>
    <n v="274"/>
    <s v="CA-2015-155334"/>
    <d v="2015-07-30T00:00:00"/>
    <d v="2015-07-31T00:00:00"/>
    <s v="First Class"/>
    <s v="HA-14920"/>
    <s v="Helen Andreada"/>
    <s v="Consumer"/>
    <s v="United States"/>
    <x v="8"/>
    <s v="California"/>
    <n v="94109"/>
    <s v="West"/>
    <s v="OFF-BI-10002557"/>
    <x v="0"/>
    <x v="2"/>
    <s v="Jade Plant"/>
    <n v="10.92"/>
    <n v="3"/>
    <m/>
    <n v="9.8279999999999994"/>
    <n v="0"/>
    <n v="0"/>
    <n v="0.89999999999999991"/>
  </r>
  <r>
    <n v="275"/>
    <s v="CA-2017-118136"/>
    <d v="2017-09-16T00:00:00"/>
    <d v="2017-09-17T00:00:00"/>
    <s v="First Class"/>
    <s v="BB-10990"/>
    <s v="Barry Blumstein"/>
    <s v="Corporate"/>
    <s v="United States"/>
    <x v="75"/>
    <s v="California"/>
    <n v="90301"/>
    <s v="West"/>
    <s v="OFF-PA-10002615"/>
    <x v="0"/>
    <x v="5"/>
    <s v="Fiddle Leaf Fig"/>
    <n v="8.82"/>
    <n v="2"/>
    <m/>
    <n v="5.2919999999999998"/>
    <n v="0"/>
    <n v="0"/>
    <n v="0.6"/>
  </r>
  <r>
    <n v="276"/>
    <s v="CA-2017-118136"/>
    <d v="2017-09-16T00:00:00"/>
    <d v="2017-09-17T00:00:00"/>
    <s v="First Class"/>
    <s v="BB-10990"/>
    <s v="Barry Blumstein"/>
    <s v="Corporate"/>
    <s v="United States"/>
    <x v="75"/>
    <s v="California"/>
    <n v="90301"/>
    <s v="West"/>
    <s v="OFF-AR-10001427"/>
    <x v="0"/>
    <x v="4"/>
    <s v="Areca Palm"/>
    <n v="5.98"/>
    <n v="1"/>
    <m/>
    <n v="1.794"/>
    <n v="0"/>
    <n v="0"/>
    <n v="0.3"/>
  </r>
  <r>
    <n v="277"/>
    <s v="CA-2017-132976"/>
    <d v="2017-10-13T00:00:00"/>
    <d v="2017-10-17T00:00:00"/>
    <s v="Standard Class"/>
    <s v="AG-10495"/>
    <s v="Andrew Gjertsen"/>
    <s v="Corporate"/>
    <s v="United States"/>
    <x v="10"/>
    <s v="Pennsylvania"/>
    <n v="19140"/>
    <s v="East"/>
    <s v="OFF-PA-10000673"/>
    <x v="0"/>
    <x v="6"/>
    <s v="Boston Fern"/>
    <n v="11.648"/>
    <n v="2"/>
    <m/>
    <n v="6.9887999999999995"/>
    <n v="0"/>
    <n v="0"/>
    <n v="0.6"/>
  </r>
  <r>
    <n v="278"/>
    <s v="CA-2017-132976"/>
    <d v="2017-10-13T00:00:00"/>
    <d v="2017-10-17T00:00:00"/>
    <s v="Standard Class"/>
    <s v="AG-10495"/>
    <s v="Andrew Gjertsen"/>
    <s v="Corporate"/>
    <s v="United States"/>
    <x v="10"/>
    <s v="Pennsylvania"/>
    <n v="19140"/>
    <s v="East"/>
    <s v="OFF-PA-10004470"/>
    <x v="0"/>
    <x v="0"/>
    <s v="Snake Plant"/>
    <n v="18.175999999999998"/>
    <n v="4"/>
    <m/>
    <n v="21.811199999999996"/>
    <n v="0"/>
    <n v="0"/>
    <n v="1.2"/>
  </r>
  <r>
    <n v="279"/>
    <s v="CA-2017-132976"/>
    <d v="2017-10-13T00:00:00"/>
    <d v="2017-10-17T00:00:00"/>
    <s v="Standard Class"/>
    <s v="AG-10495"/>
    <s v="Andrew Gjertsen"/>
    <s v="Corporate"/>
    <s v="United States"/>
    <x v="10"/>
    <s v="Pennsylvania"/>
    <n v="19140"/>
    <s v="East"/>
    <s v="OFF-ST-10000876"/>
    <x v="0"/>
    <x v="1"/>
    <s v="Peace Lily"/>
    <n v="59.712000000000003"/>
    <n v="6"/>
    <m/>
    <n v="107.48160000000001"/>
    <n v="0.05"/>
    <n v="2.9856000000000003"/>
    <n v="1.8"/>
  </r>
  <r>
    <n v="280"/>
    <s v="CA-2017-132976"/>
    <d v="2017-10-13T00:00:00"/>
    <d v="2017-10-17T00:00:00"/>
    <s v="Standard Class"/>
    <s v="AG-10495"/>
    <s v="Andrew Gjertsen"/>
    <s v="Corporate"/>
    <s v="United States"/>
    <x v="10"/>
    <s v="Pennsylvania"/>
    <n v="19140"/>
    <s v="East"/>
    <s v="OFF-LA-10002043"/>
    <x v="0"/>
    <x v="2"/>
    <s v="Aloe Vera"/>
    <n v="24.84"/>
    <n v="3"/>
    <m/>
    <n v="22.355999999999998"/>
    <n v="0"/>
    <n v="0"/>
    <n v="0.89999999999999991"/>
  </r>
  <r>
    <n v="281"/>
    <s v="US-2015-161991"/>
    <d v="2015-09-26T00:00:00"/>
    <d v="2015-09-28T00:00:00"/>
    <s v="Second Class"/>
    <s v="SC-20725"/>
    <s v="Steven Cartwright"/>
    <s v="Consumer"/>
    <s v="United States"/>
    <x v="12"/>
    <s v="Texas"/>
    <n v="77070"/>
    <s v="Central"/>
    <s v="OFF-BI-10004967"/>
    <x v="0"/>
    <x v="0"/>
    <s v="Spider Plant"/>
    <n v="2.08"/>
    <n v="5"/>
    <m/>
    <n v="3.12"/>
    <n v="0.05"/>
    <n v="0.10400000000000001"/>
    <n v="1.5"/>
  </r>
  <r>
    <n v="282"/>
    <s v="US-2015-161991"/>
    <d v="2015-09-26T00:00:00"/>
    <d v="2015-09-28T00:00:00"/>
    <s v="Second Class"/>
    <s v="SC-20725"/>
    <s v="Steven Cartwright"/>
    <s v="Consumer"/>
    <s v="United States"/>
    <x v="12"/>
    <s v="Texas"/>
    <n v="77070"/>
    <s v="Central"/>
    <s v="TEC-PH-10001760"/>
    <x v="0"/>
    <x v="3"/>
    <s v="Pothos"/>
    <n v="1114.4000000000001"/>
    <n v="7"/>
    <m/>
    <n v="2340.2400000000002"/>
    <n v="0.05"/>
    <n v="55.720000000000006"/>
    <n v="2.1"/>
  </r>
  <r>
    <n v="283"/>
    <s v="CA-2015-130890"/>
    <d v="2015-11-02T00:00:00"/>
    <d v="2015-11-06T00:00:00"/>
    <s v="Standard Class"/>
    <s v="JO-15280"/>
    <s v="Jas O'Carroll"/>
    <s v="Consumer"/>
    <s v="United States"/>
    <x v="1"/>
    <s v="California"/>
    <n v="90004"/>
    <s v="West"/>
    <s v="FUR-TA-10002903"/>
    <x v="0"/>
    <x v="4"/>
    <s v="Monstera"/>
    <n v="1038.8399999999999"/>
    <n v="5"/>
    <m/>
    <n v="1558.26"/>
    <n v="0.05"/>
    <n v="51.942"/>
    <n v="1.5"/>
  </r>
  <r>
    <n v="284"/>
    <s v="CA-2015-130883"/>
    <d v="2015-09-26T00:00:00"/>
    <d v="2015-10-02T00:00:00"/>
    <s v="Standard Class"/>
    <s v="TB-21520"/>
    <s v="Tracy Blumstein"/>
    <s v="Consumer"/>
    <s v="United States"/>
    <x v="32"/>
    <s v="Oregon"/>
    <n v="97206"/>
    <s v="West"/>
    <s v="OFF-PA-10000474"/>
    <x v="0"/>
    <x v="0"/>
    <s v="ZZ Plant"/>
    <n v="141.76"/>
    <n v="5"/>
    <m/>
    <n v="212.64"/>
    <n v="0.05"/>
    <n v="7.0880000000000001"/>
    <n v="1.5"/>
  </r>
  <r>
    <n v="285"/>
    <s v="CA-2015-130883"/>
    <d v="2015-09-26T00:00:00"/>
    <d v="2015-10-02T00:00:00"/>
    <s v="Standard Class"/>
    <s v="TB-21520"/>
    <s v="Tracy Blumstein"/>
    <s v="Consumer"/>
    <s v="United States"/>
    <x v="32"/>
    <s v="Oregon"/>
    <n v="97206"/>
    <s v="West"/>
    <s v="TEC-AC-10001956"/>
    <x v="0"/>
    <x v="0"/>
    <s v="Rubber Plant"/>
    <n v="239.8"/>
    <n v="5"/>
    <m/>
    <n v="359.7"/>
    <n v="0.05"/>
    <n v="11.990000000000002"/>
    <n v="1.4999999999999998"/>
  </r>
  <r>
    <n v="286"/>
    <s v="CA-2015-130883"/>
    <d v="2015-09-26T00:00:00"/>
    <d v="2015-10-02T00:00:00"/>
    <s v="Standard Class"/>
    <s v="TB-21520"/>
    <s v="Tracy Blumstein"/>
    <s v="Consumer"/>
    <s v="United States"/>
    <x v="32"/>
    <s v="Oregon"/>
    <n v="97206"/>
    <s v="West"/>
    <s v="OFF-PA-10004100"/>
    <x v="0"/>
    <x v="2"/>
    <s v="Jade Plant"/>
    <n v="31.10400000000001"/>
    <n v="6"/>
    <m/>
    <n v="55.987200000000016"/>
    <n v="0.05"/>
    <n v="1.5552000000000006"/>
    <n v="1.7999999999999998"/>
  </r>
  <r>
    <n v="287"/>
    <s v="CA-2016-112697"/>
    <d v="2016-12-18T00:00:00"/>
    <d v="2016-12-20T00:00:00"/>
    <s v="Second Class"/>
    <s v="AH-10195"/>
    <s v="Alan Haines"/>
    <s v="Corporate"/>
    <s v="United States"/>
    <x v="76"/>
    <s v="Florida"/>
    <n v="33319"/>
    <s v="South"/>
    <s v="OFF-BI-10000778"/>
    <x v="0"/>
    <x v="5"/>
    <s v="Fiddle Leaf Fig"/>
    <n v="254.05799999999999"/>
    <n v="7"/>
    <m/>
    <n v="533.52179999999998"/>
    <n v="0.05"/>
    <n v="12.7029"/>
    <n v="2.1"/>
  </r>
  <r>
    <n v="288"/>
    <s v="CA-2016-112697"/>
    <d v="2016-12-18T00:00:00"/>
    <d v="2016-12-20T00:00:00"/>
    <s v="Second Class"/>
    <s v="AH-10195"/>
    <s v="Alan Haines"/>
    <s v="Corporate"/>
    <s v="United States"/>
    <x v="76"/>
    <s v="Florida"/>
    <n v="33319"/>
    <s v="South"/>
    <s v="OFF-AP-10002684"/>
    <x v="0"/>
    <x v="4"/>
    <s v="Areca Palm"/>
    <n v="194.52799999999999"/>
    <n v="2"/>
    <m/>
    <n v="116.71679999999999"/>
    <n v="0"/>
    <n v="0"/>
    <n v="0.6"/>
  </r>
  <r>
    <n v="289"/>
    <s v="CA-2016-112697"/>
    <d v="2016-12-18T00:00:00"/>
    <d v="2016-12-20T00:00:00"/>
    <s v="Second Class"/>
    <s v="AH-10195"/>
    <s v="Alan Haines"/>
    <s v="Corporate"/>
    <s v="United States"/>
    <x v="76"/>
    <s v="Florida"/>
    <n v="33319"/>
    <s v="South"/>
    <s v="OFF-SU-10000646"/>
    <x v="0"/>
    <x v="6"/>
    <s v="Boston Fern"/>
    <n v="961.48000000000013"/>
    <n v="5"/>
    <m/>
    <n v="1442.22"/>
    <n v="0.05"/>
    <n v="48.074000000000012"/>
    <n v="1.4999999999999998"/>
  </r>
  <r>
    <n v="290"/>
    <s v="CA-2016-110772"/>
    <d v="2016-11-20T00:00:00"/>
    <d v="2016-11-24T00:00:00"/>
    <s v="Second Class"/>
    <s v="NZ-18565"/>
    <s v="Nick Zandusky"/>
    <s v="Home Office"/>
    <s v="United States"/>
    <x v="38"/>
    <s v="Ohio"/>
    <n v="43229"/>
    <s v="East"/>
    <s v="OFF-FA-10002983"/>
    <x v="0"/>
    <x v="0"/>
    <s v="Snake Plant"/>
    <n v="19.096"/>
    <n v="7"/>
    <m/>
    <n v="40.101599999999998"/>
    <n v="0.05"/>
    <n v="0.95480000000000009"/>
    <n v="2.1"/>
  </r>
  <r>
    <n v="291"/>
    <s v="CA-2016-110772"/>
    <d v="2016-11-20T00:00:00"/>
    <d v="2016-11-24T00:00:00"/>
    <s v="Second Class"/>
    <s v="NZ-18565"/>
    <s v="Nick Zandusky"/>
    <s v="Home Office"/>
    <s v="United States"/>
    <x v="38"/>
    <s v="Ohio"/>
    <n v="43229"/>
    <s v="East"/>
    <s v="OFF-LA-10004689"/>
    <x v="0"/>
    <x v="1"/>
    <s v="Peace Lily"/>
    <n v="18.495999999999999"/>
    <n v="8"/>
    <m/>
    <n v="44.390399999999993"/>
    <n v="0.05"/>
    <n v="0.92479999999999996"/>
    <n v="2.4"/>
  </r>
  <r>
    <n v="292"/>
    <s v="CA-2016-110772"/>
    <d v="2016-11-20T00:00:00"/>
    <d v="2016-11-24T00:00:00"/>
    <s v="Second Class"/>
    <s v="NZ-18565"/>
    <s v="Nick Zandusky"/>
    <s v="Home Office"/>
    <s v="United States"/>
    <x v="38"/>
    <s v="Ohio"/>
    <n v="43229"/>
    <s v="East"/>
    <s v="TEC-AC-10002001"/>
    <x v="0"/>
    <x v="2"/>
    <s v="Aloe Vera"/>
    <n v="255.98400000000001"/>
    <n v="2"/>
    <m/>
    <n v="153.59039999999999"/>
    <n v="0"/>
    <n v="0"/>
    <n v="0.6"/>
  </r>
  <r>
    <n v="293"/>
    <s v="CA-2016-110772"/>
    <d v="2016-11-20T00:00:00"/>
    <d v="2016-11-24T00:00:00"/>
    <s v="Second Class"/>
    <s v="NZ-18565"/>
    <s v="Nick Zandusky"/>
    <s v="Home Office"/>
    <s v="United States"/>
    <x v="38"/>
    <s v="Ohio"/>
    <n v="43229"/>
    <s v="East"/>
    <s v="FUR-BO-10004709"/>
    <x v="0"/>
    <x v="0"/>
    <s v="Spider Plant"/>
    <n v="86.97"/>
    <n v="3"/>
    <m/>
    <n v="78.272999999999982"/>
    <n v="0"/>
    <n v="0"/>
    <n v="0.8999999999999998"/>
  </r>
  <r>
    <n v="294"/>
    <s v="CA-2014-111451"/>
    <d v="2014-12-26T00:00:00"/>
    <d v="2014-12-28T00:00:00"/>
    <s v="First Class"/>
    <s v="KL-16555"/>
    <s v="Kelly Lampkin"/>
    <s v="Corporate"/>
    <s v="United States"/>
    <x v="77"/>
    <s v="Colorado"/>
    <n v="80906"/>
    <s v="West"/>
    <s v="FUR-FU-10004091"/>
    <x v="0"/>
    <x v="3"/>
    <s v="Pothos"/>
    <n v="300.416"/>
    <n v="8"/>
    <m/>
    <n v="720.99839999999995"/>
    <n v="0.05"/>
    <n v="15.020800000000001"/>
    <n v="2.4"/>
  </r>
  <r>
    <n v="295"/>
    <s v="CA-2014-111451"/>
    <d v="2014-12-26T00:00:00"/>
    <d v="2014-12-28T00:00:00"/>
    <s v="First Class"/>
    <s v="KL-16555"/>
    <s v="Kelly Lampkin"/>
    <s v="Corporate"/>
    <s v="United States"/>
    <x v="77"/>
    <s v="Colorado"/>
    <n v="80906"/>
    <s v="West"/>
    <s v="FUR-CH-10001891"/>
    <x v="0"/>
    <x v="4"/>
    <s v="Monstera"/>
    <n v="230.352"/>
    <n v="3"/>
    <m/>
    <n v="207.3168"/>
    <n v="0"/>
    <n v="0"/>
    <n v="0.9"/>
  </r>
  <r>
    <n v="296"/>
    <s v="CA-2014-111451"/>
    <d v="2014-12-26T00:00:00"/>
    <d v="2014-12-28T00:00:00"/>
    <s v="First Class"/>
    <s v="KL-16555"/>
    <s v="Kelly Lampkin"/>
    <s v="Corporate"/>
    <s v="United States"/>
    <x v="77"/>
    <s v="Colorado"/>
    <n v="80906"/>
    <s v="West"/>
    <s v="FUR-FU-10002918"/>
    <x v="0"/>
    <x v="0"/>
    <s v="ZZ Plant"/>
    <n v="218.352"/>
    <n v="3"/>
    <m/>
    <n v="196.51680000000002"/>
    <n v="0"/>
    <n v="0"/>
    <n v="0.9"/>
  </r>
  <r>
    <n v="297"/>
    <s v="CA-2014-111451"/>
    <d v="2014-12-26T00:00:00"/>
    <d v="2014-12-28T00:00:00"/>
    <s v="First Class"/>
    <s v="KL-16555"/>
    <s v="Kelly Lampkin"/>
    <s v="Corporate"/>
    <s v="United States"/>
    <x v="77"/>
    <s v="Colorado"/>
    <n v="80906"/>
    <s v="West"/>
    <s v="OFF-BI-10004593"/>
    <x v="0"/>
    <x v="0"/>
    <s v="Rubber Plant"/>
    <n v="78.600000000000009"/>
    <n v="5"/>
    <m/>
    <n v="117.9"/>
    <n v="0.05"/>
    <n v="3.9300000000000006"/>
    <n v="1.5"/>
  </r>
  <r>
    <n v="298"/>
    <s v="CA-2014-111451"/>
    <d v="2014-12-26T00:00:00"/>
    <d v="2014-12-28T00:00:00"/>
    <s v="First Class"/>
    <s v="KL-16555"/>
    <s v="Kelly Lampkin"/>
    <s v="Corporate"/>
    <s v="United States"/>
    <x v="77"/>
    <s v="Colorado"/>
    <n v="80906"/>
    <s v="West"/>
    <s v="OFF-FA-10004854"/>
    <x v="0"/>
    <x v="2"/>
    <s v="Jade Plant"/>
    <n v="27.552"/>
    <n v="3"/>
    <m/>
    <n v="24.796800000000001"/>
    <n v="0"/>
    <n v="0"/>
    <n v="0.9"/>
  </r>
  <r>
    <n v="299"/>
    <s v="CA-2016-142545"/>
    <d v="2016-10-28T00:00:00"/>
    <d v="2016-11-03T00:00:00"/>
    <s v="Standard Class"/>
    <s v="JD-15895"/>
    <s v="Jonathan Doherty"/>
    <s v="Corporate"/>
    <s v="United States"/>
    <x v="78"/>
    <s v="New Jersey"/>
    <n v="7109"/>
    <s v="East"/>
    <s v="OFF-PA-10002105"/>
    <x v="0"/>
    <x v="5"/>
    <s v="Fiddle Leaf Fig"/>
    <n v="32.400000000000013"/>
    <n v="5"/>
    <m/>
    <n v="48.600000000000016"/>
    <n v="0.05"/>
    <n v="1.6200000000000008"/>
    <n v="1.5"/>
  </r>
  <r>
    <m/>
    <m/>
    <m/>
    <m/>
    <m/>
    <m/>
    <m/>
    <m/>
    <m/>
    <x v="79"/>
    <m/>
    <m/>
    <m/>
    <m/>
    <x v="0"/>
    <x v="4"/>
    <s v="Areca Palm"/>
    <m/>
    <m/>
    <m/>
    <m/>
    <n v="0"/>
    <n v="0"/>
    <n v="0"/>
  </r>
  <r>
    <m/>
    <m/>
    <m/>
    <m/>
    <m/>
    <m/>
    <m/>
    <m/>
    <m/>
    <x v="79"/>
    <m/>
    <m/>
    <m/>
    <m/>
    <x v="0"/>
    <x v="6"/>
    <s v="Boston Fern"/>
    <m/>
    <m/>
    <m/>
    <m/>
    <n v="0"/>
    <n v="0"/>
    <n v="0"/>
  </r>
  <r>
    <m/>
    <m/>
    <m/>
    <m/>
    <m/>
    <m/>
    <m/>
    <m/>
    <m/>
    <x v="79"/>
    <m/>
    <m/>
    <m/>
    <m/>
    <x v="0"/>
    <x v="0"/>
    <s v="Snake Plant"/>
    <m/>
    <m/>
    <m/>
    <m/>
    <n v="0"/>
    <n v="0"/>
    <n v="0"/>
  </r>
  <r>
    <m/>
    <m/>
    <m/>
    <m/>
    <m/>
    <m/>
    <m/>
    <m/>
    <m/>
    <x v="79"/>
    <m/>
    <m/>
    <m/>
    <m/>
    <x v="0"/>
    <x v="1"/>
    <s v="Peace Lily"/>
    <m/>
    <m/>
    <m/>
    <m/>
    <n v="0"/>
    <n v="0"/>
    <n v="0"/>
  </r>
  <r>
    <m/>
    <m/>
    <m/>
    <m/>
    <m/>
    <m/>
    <m/>
    <m/>
    <m/>
    <x v="79"/>
    <m/>
    <m/>
    <m/>
    <m/>
    <x v="0"/>
    <x v="2"/>
    <s v="Aloe Vera"/>
    <m/>
    <m/>
    <m/>
    <m/>
    <n v="0"/>
    <n v="0"/>
    <n v="0"/>
  </r>
  <r>
    <m/>
    <m/>
    <m/>
    <m/>
    <m/>
    <m/>
    <m/>
    <m/>
    <m/>
    <x v="79"/>
    <m/>
    <m/>
    <m/>
    <m/>
    <x v="0"/>
    <x v="0"/>
    <s v="Spider Plant"/>
    <m/>
    <m/>
    <m/>
    <m/>
    <n v="0"/>
    <n v="0"/>
    <n v="0"/>
  </r>
  <r>
    <m/>
    <m/>
    <m/>
    <m/>
    <m/>
    <m/>
    <m/>
    <m/>
    <m/>
    <x v="79"/>
    <m/>
    <m/>
    <m/>
    <m/>
    <x v="0"/>
    <x v="3"/>
    <s v="Pothos"/>
    <m/>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x v="0"/>
    <x v="0"/>
    <x v="0"/>
    <n v="144"/>
  </r>
  <r>
    <x v="0"/>
    <x v="1"/>
    <x v="0"/>
    <n v="146"/>
  </r>
  <r>
    <x v="0"/>
    <x v="1"/>
    <x v="1"/>
    <n v="364"/>
  </r>
  <r>
    <x v="0"/>
    <x v="2"/>
    <x v="1"/>
    <n v="867"/>
  </r>
  <r>
    <x v="0"/>
    <x v="3"/>
    <x v="0"/>
    <n v="363"/>
  </r>
  <r>
    <x v="0"/>
    <x v="4"/>
    <x v="0"/>
    <n v="450"/>
  </r>
  <r>
    <x v="0"/>
    <x v="3"/>
    <x v="1"/>
    <n v="686"/>
  </r>
  <r>
    <x v="0"/>
    <x v="5"/>
    <x v="1"/>
    <n v="830"/>
  </r>
  <r>
    <x v="1"/>
    <x v="5"/>
    <x v="2"/>
    <n v="766"/>
  </r>
  <r>
    <x v="1"/>
    <x v="2"/>
    <x v="2"/>
    <n v="842"/>
  </r>
  <r>
    <x v="1"/>
    <x v="1"/>
    <x v="0"/>
    <n v="305"/>
  </r>
  <r>
    <x v="1"/>
    <x v="4"/>
    <x v="0"/>
    <n v="183"/>
  </r>
  <r>
    <x v="1"/>
    <x v="3"/>
    <x v="0"/>
    <n v="142"/>
  </r>
  <r>
    <x v="1"/>
    <x v="0"/>
    <x v="0"/>
    <n v="618"/>
  </r>
  <r>
    <x v="1"/>
    <x v="5"/>
    <x v="1"/>
    <n v="791"/>
  </r>
  <r>
    <x v="1"/>
    <x v="2"/>
    <x v="1"/>
    <n v="633"/>
  </r>
  <r>
    <x v="1"/>
    <x v="1"/>
    <x v="1"/>
    <n v="679"/>
  </r>
  <r>
    <x v="1"/>
    <x v="4"/>
    <x v="1"/>
    <n v="797"/>
  </r>
  <r>
    <x v="1"/>
    <x v="3"/>
    <x v="1"/>
    <n v="729"/>
  </r>
  <r>
    <x v="1"/>
    <x v="0"/>
    <x v="1"/>
    <n v="307"/>
  </r>
  <r>
    <x v="1"/>
    <x v="5"/>
    <x v="2"/>
    <n v="523"/>
  </r>
  <r>
    <x v="1"/>
    <x v="2"/>
    <x v="2"/>
    <n v="900"/>
  </r>
  <r>
    <x v="1"/>
    <x v="1"/>
    <x v="2"/>
    <n v="192"/>
  </r>
  <r>
    <x v="1"/>
    <x v="4"/>
    <x v="2"/>
    <n v="446"/>
  </r>
  <r>
    <x v="1"/>
    <x v="3"/>
    <x v="2"/>
    <n v="318"/>
  </r>
  <r>
    <x v="1"/>
    <x v="0"/>
    <x v="2"/>
    <n v="773"/>
  </r>
  <r>
    <x v="2"/>
    <x v="5"/>
    <x v="0"/>
    <n v="137"/>
  </r>
  <r>
    <x v="2"/>
    <x v="2"/>
    <x v="0"/>
    <n v="732"/>
  </r>
  <r>
    <x v="2"/>
    <x v="1"/>
    <x v="0"/>
    <n v="522"/>
  </r>
  <r>
    <x v="2"/>
    <x v="4"/>
    <x v="0"/>
    <n v="473"/>
  </r>
  <r>
    <x v="2"/>
    <x v="3"/>
    <x v="0"/>
    <n v="849"/>
  </r>
  <r>
    <x v="2"/>
    <x v="0"/>
    <x v="0"/>
    <n v="571"/>
  </r>
  <r>
    <x v="2"/>
    <x v="5"/>
    <x v="1"/>
    <n v="728"/>
  </r>
  <r>
    <x v="2"/>
    <x v="2"/>
    <x v="1"/>
    <n v="237"/>
  </r>
  <r>
    <x v="2"/>
    <x v="1"/>
    <x v="1"/>
    <n v="231"/>
  </r>
  <r>
    <x v="2"/>
    <x v="4"/>
    <x v="1"/>
    <n v="741"/>
  </r>
  <r>
    <x v="2"/>
    <x v="3"/>
    <x v="1"/>
    <n v="898"/>
  </r>
  <r>
    <x v="2"/>
    <x v="0"/>
    <x v="1"/>
    <n v="798"/>
  </r>
  <r>
    <x v="2"/>
    <x v="5"/>
    <x v="2"/>
    <n v="476"/>
  </r>
  <r>
    <x v="2"/>
    <x v="2"/>
    <x v="2"/>
    <n v="836"/>
  </r>
  <r>
    <x v="2"/>
    <x v="1"/>
    <x v="2"/>
    <n v="395"/>
  </r>
  <r>
    <x v="2"/>
    <x v="4"/>
    <x v="2"/>
    <n v="430"/>
  </r>
  <r>
    <x v="2"/>
    <x v="3"/>
    <x v="2"/>
    <n v="745"/>
  </r>
  <r>
    <x v="2"/>
    <x v="0"/>
    <x v="2"/>
    <n v="226"/>
  </r>
  <r>
    <x v="2"/>
    <x v="5"/>
    <x v="0"/>
    <n v="484"/>
  </r>
  <r>
    <x v="2"/>
    <x v="2"/>
    <x v="0"/>
    <n v="445"/>
  </r>
  <r>
    <x v="2"/>
    <x v="1"/>
    <x v="0"/>
    <n v="260"/>
  </r>
  <r>
    <x v="2"/>
    <x v="4"/>
    <x v="0"/>
    <n v="958"/>
  </r>
  <r>
    <x v="2"/>
    <x v="3"/>
    <x v="0"/>
    <n v="825"/>
  </r>
  <r>
    <x v="2"/>
    <x v="0"/>
    <x v="0"/>
    <n v="504"/>
  </r>
  <r>
    <x v="2"/>
    <x v="5"/>
    <x v="1"/>
    <n v="739"/>
  </r>
  <r>
    <x v="2"/>
    <x v="2"/>
    <x v="1"/>
    <n v="705"/>
  </r>
  <r>
    <x v="2"/>
    <x v="1"/>
    <x v="1"/>
    <n v="688"/>
  </r>
  <r>
    <x v="2"/>
    <x v="4"/>
    <x v="1"/>
    <n v="601"/>
  </r>
  <r>
    <x v="2"/>
    <x v="3"/>
    <x v="1"/>
    <n v="889"/>
  </r>
  <r>
    <x v="2"/>
    <x v="0"/>
    <x v="1"/>
    <n v="167"/>
  </r>
  <r>
    <x v="2"/>
    <x v="5"/>
    <x v="2"/>
    <n v="657"/>
  </r>
  <r>
    <x v="2"/>
    <x v="2"/>
    <x v="2"/>
    <n v="99"/>
  </r>
  <r>
    <x v="2"/>
    <x v="1"/>
    <x v="2"/>
    <n v="407"/>
  </r>
  <r>
    <x v="2"/>
    <x v="4"/>
    <x v="2"/>
    <n v="594"/>
  </r>
  <r>
    <x v="2"/>
    <x v="3"/>
    <x v="2"/>
    <n v="921"/>
  </r>
  <r>
    <x v="2"/>
    <x v="0"/>
    <x v="2"/>
    <n v="875"/>
  </r>
  <r>
    <x v="2"/>
    <x v="5"/>
    <x v="0"/>
    <n v="637"/>
  </r>
  <r>
    <x v="2"/>
    <x v="2"/>
    <x v="0"/>
    <n v="948"/>
  </r>
  <r>
    <x v="2"/>
    <x v="1"/>
    <x v="0"/>
    <n v="671"/>
  </r>
  <r>
    <x v="2"/>
    <x v="4"/>
    <x v="0"/>
    <n v="478"/>
  </r>
  <r>
    <x v="2"/>
    <x v="3"/>
    <x v="0"/>
    <n v="321"/>
  </r>
  <r>
    <x v="2"/>
    <x v="0"/>
    <x v="0"/>
    <n v="956"/>
  </r>
  <r>
    <x v="2"/>
    <x v="5"/>
    <x v="1"/>
    <n v="899"/>
  </r>
  <r>
    <x v="2"/>
    <x v="2"/>
    <x v="1"/>
    <n v="263"/>
  </r>
  <r>
    <x v="2"/>
    <x v="1"/>
    <x v="1"/>
    <n v="595"/>
  </r>
  <r>
    <x v="2"/>
    <x v="4"/>
    <x v="1"/>
    <n v="569"/>
  </r>
  <r>
    <x v="2"/>
    <x v="3"/>
    <x v="1"/>
    <n v="464"/>
  </r>
  <r>
    <x v="2"/>
    <x v="0"/>
    <x v="1"/>
    <n v="584"/>
  </r>
  <r>
    <x v="2"/>
    <x v="5"/>
    <x v="2"/>
    <n v="806"/>
  </r>
  <r>
    <x v="2"/>
    <x v="2"/>
    <x v="2"/>
    <n v="419"/>
  </r>
  <r>
    <x v="2"/>
    <x v="1"/>
    <x v="2"/>
    <n v="160"/>
  </r>
  <r>
    <x v="2"/>
    <x v="4"/>
    <x v="2"/>
    <n v="957"/>
  </r>
  <r>
    <x v="2"/>
    <x v="3"/>
    <x v="2"/>
    <n v="887"/>
  </r>
  <r>
    <x v="2"/>
    <x v="0"/>
    <x v="2"/>
    <n v="938"/>
  </r>
  <r>
    <x v="2"/>
    <x v="5"/>
    <x v="0"/>
    <n v="457"/>
  </r>
  <r>
    <x v="2"/>
    <x v="2"/>
    <x v="0"/>
    <n v="668"/>
  </r>
  <r>
    <x v="2"/>
    <x v="1"/>
    <x v="0"/>
    <n v="754"/>
  </r>
  <r>
    <x v="2"/>
    <x v="4"/>
    <x v="0"/>
    <n v="368"/>
  </r>
  <r>
    <x v="2"/>
    <x v="3"/>
    <x v="0"/>
    <n v="731"/>
  </r>
  <r>
    <x v="2"/>
    <x v="0"/>
    <x v="0"/>
    <n v="857"/>
  </r>
  <r>
    <x v="2"/>
    <x v="5"/>
    <x v="1"/>
    <n v="523"/>
  </r>
  <r>
    <x v="2"/>
    <x v="2"/>
    <x v="1"/>
    <n v="175"/>
  </r>
  <r>
    <x v="2"/>
    <x v="1"/>
    <x v="1"/>
    <n v="617"/>
  </r>
  <r>
    <x v="2"/>
    <x v="4"/>
    <x v="1"/>
    <n v="950"/>
  </r>
  <r>
    <x v="2"/>
    <x v="3"/>
    <x v="1"/>
    <n v="745"/>
  </r>
  <r>
    <x v="2"/>
    <x v="0"/>
    <x v="1"/>
    <n v="232"/>
  </r>
  <r>
    <x v="2"/>
    <x v="5"/>
    <x v="2"/>
    <n v="950"/>
  </r>
  <r>
    <x v="2"/>
    <x v="2"/>
    <x v="2"/>
    <n v="287"/>
  </r>
  <r>
    <x v="2"/>
    <x v="1"/>
    <x v="2"/>
    <n v="371"/>
  </r>
  <r>
    <x v="2"/>
    <x v="4"/>
    <x v="2"/>
    <n v="835"/>
  </r>
  <r>
    <x v="2"/>
    <x v="3"/>
    <x v="2"/>
    <n v="527"/>
  </r>
  <r>
    <x v="2"/>
    <x v="0"/>
    <x v="2"/>
    <n v="832"/>
  </r>
  <r>
    <x v="2"/>
    <x v="5"/>
    <x v="0"/>
    <n v="294"/>
  </r>
  <r>
    <x v="2"/>
    <x v="2"/>
    <x v="0"/>
    <n v="307"/>
  </r>
  <r>
    <x v="2"/>
    <x v="1"/>
    <x v="0"/>
    <n v="770"/>
  </r>
  <r>
    <x v="2"/>
    <x v="4"/>
    <x v="0"/>
    <n v="906"/>
  </r>
  <r>
    <x v="2"/>
    <x v="3"/>
    <x v="0"/>
    <n v="596"/>
  </r>
  <r>
    <x v="2"/>
    <x v="0"/>
    <x v="0"/>
    <n v="782"/>
  </r>
  <r>
    <x v="2"/>
    <x v="5"/>
    <x v="1"/>
    <n v="967"/>
  </r>
  <r>
    <x v="2"/>
    <x v="2"/>
    <x v="1"/>
    <n v="756"/>
  </r>
  <r>
    <x v="2"/>
    <x v="1"/>
    <x v="1"/>
    <n v="874"/>
  </r>
  <r>
    <x v="2"/>
    <x v="4"/>
    <x v="1"/>
    <n v="643"/>
  </r>
  <r>
    <x v="2"/>
    <x v="3"/>
    <x v="1"/>
    <n v="533"/>
  </r>
  <r>
    <x v="2"/>
    <x v="0"/>
    <x v="1"/>
    <n v="276"/>
  </r>
  <r>
    <x v="2"/>
    <x v="5"/>
    <x v="2"/>
    <n v="116"/>
  </r>
  <r>
    <x v="2"/>
    <x v="2"/>
    <x v="2"/>
    <n v="204"/>
  </r>
  <r>
    <x v="2"/>
    <x v="1"/>
    <x v="2"/>
    <n v="626"/>
  </r>
  <r>
    <x v="2"/>
    <x v="4"/>
    <x v="2"/>
    <n v="777"/>
  </r>
  <r>
    <x v="2"/>
    <x v="3"/>
    <x v="2"/>
    <n v="657"/>
  </r>
  <r>
    <x v="2"/>
    <x v="0"/>
    <x v="2"/>
    <n v="384"/>
  </r>
  <r>
    <x v="3"/>
    <x v="5"/>
    <x v="0"/>
    <n v="624"/>
  </r>
  <r>
    <x v="3"/>
    <x v="2"/>
    <x v="0"/>
    <n v="175"/>
  </r>
  <r>
    <x v="3"/>
    <x v="1"/>
    <x v="0"/>
    <n v="224"/>
  </r>
  <r>
    <x v="3"/>
    <x v="4"/>
    <x v="0"/>
    <n v="962"/>
  </r>
  <r>
    <x v="3"/>
    <x v="3"/>
    <x v="0"/>
    <n v="366"/>
  </r>
  <r>
    <x v="3"/>
    <x v="0"/>
    <x v="0"/>
    <n v="948"/>
  </r>
  <r>
    <x v="3"/>
    <x v="5"/>
    <x v="1"/>
    <n v="560"/>
  </r>
  <r>
    <x v="3"/>
    <x v="2"/>
    <x v="1"/>
    <n v="395"/>
  </r>
  <r>
    <x v="3"/>
    <x v="1"/>
    <x v="1"/>
    <n v="891"/>
  </r>
  <r>
    <x v="3"/>
    <x v="4"/>
    <x v="1"/>
    <n v="760"/>
  </r>
  <r>
    <x v="3"/>
    <x v="3"/>
    <x v="1"/>
    <n v="931"/>
  </r>
  <r>
    <x v="3"/>
    <x v="0"/>
    <x v="1"/>
    <n v="707"/>
  </r>
  <r>
    <x v="3"/>
    <x v="5"/>
    <x v="2"/>
    <n v="704"/>
  </r>
  <r>
    <x v="3"/>
    <x v="2"/>
    <x v="2"/>
    <n v="643"/>
  </r>
  <r>
    <x v="3"/>
    <x v="1"/>
    <x v="2"/>
    <n v="461"/>
  </r>
  <r>
    <x v="3"/>
    <x v="4"/>
    <x v="2"/>
    <n v="241"/>
  </r>
  <r>
    <x v="3"/>
    <x v="3"/>
    <x v="2"/>
    <n v="863"/>
  </r>
  <r>
    <x v="3"/>
    <x v="0"/>
    <x v="2"/>
    <n v="400"/>
  </r>
  <r>
    <x v="4"/>
    <x v="5"/>
    <x v="0"/>
    <n v="292"/>
  </r>
  <r>
    <x v="4"/>
    <x v="2"/>
    <x v="0"/>
    <n v="650"/>
  </r>
  <r>
    <x v="4"/>
    <x v="1"/>
    <x v="0"/>
    <n v="106"/>
  </r>
  <r>
    <x v="4"/>
    <x v="4"/>
    <x v="0"/>
    <n v="931"/>
  </r>
  <r>
    <x v="4"/>
    <x v="3"/>
    <x v="0"/>
    <n v="721"/>
  </r>
  <r>
    <x v="4"/>
    <x v="0"/>
    <x v="0"/>
    <n v="352"/>
  </r>
  <r>
    <x v="4"/>
    <x v="5"/>
    <x v="1"/>
    <n v="983"/>
  </r>
  <r>
    <x v="4"/>
    <x v="2"/>
    <x v="1"/>
    <n v="777"/>
  </r>
  <r>
    <x v="4"/>
    <x v="1"/>
    <x v="1"/>
    <n v="343"/>
  </r>
  <r>
    <x v="4"/>
    <x v="4"/>
    <x v="1"/>
    <n v="914"/>
  </r>
  <r>
    <x v="4"/>
    <x v="3"/>
    <x v="1"/>
    <n v="283"/>
  </r>
  <r>
    <x v="4"/>
    <x v="0"/>
    <x v="1"/>
    <n v="358"/>
  </r>
  <r>
    <x v="4"/>
    <x v="5"/>
    <x v="2"/>
    <n v="945"/>
  </r>
  <r>
    <x v="4"/>
    <x v="2"/>
    <x v="2"/>
    <n v="126"/>
  </r>
  <r>
    <x v="4"/>
    <x v="1"/>
    <x v="2"/>
    <n v="951"/>
  </r>
  <r>
    <x v="4"/>
    <x v="4"/>
    <x v="2"/>
    <n v="208"/>
  </r>
  <r>
    <x v="4"/>
    <x v="3"/>
    <x v="2"/>
    <n v="755"/>
  </r>
  <r>
    <x v="4"/>
    <x v="0"/>
    <x v="2"/>
    <n v="567"/>
  </r>
  <r>
    <x v="5"/>
    <x v="5"/>
    <x v="0"/>
    <n v="694"/>
  </r>
  <r>
    <x v="5"/>
    <x v="2"/>
    <x v="0"/>
    <n v="758"/>
  </r>
  <r>
    <x v="5"/>
    <x v="1"/>
    <x v="0"/>
    <n v="945"/>
  </r>
  <r>
    <x v="5"/>
    <x v="4"/>
    <x v="0"/>
    <n v="866"/>
  </r>
  <r>
    <x v="5"/>
    <x v="3"/>
    <x v="0"/>
    <n v="703"/>
  </r>
  <r>
    <x v="5"/>
    <x v="0"/>
    <x v="0"/>
    <n v="308"/>
  </r>
  <r>
    <x v="5"/>
    <x v="5"/>
    <x v="1"/>
    <n v="178"/>
  </r>
  <r>
    <x v="5"/>
    <x v="2"/>
    <x v="1"/>
    <n v="263"/>
  </r>
  <r>
    <x v="5"/>
    <x v="1"/>
    <x v="1"/>
    <n v="131"/>
  </r>
  <r>
    <x v="5"/>
    <x v="4"/>
    <x v="1"/>
    <n v="246"/>
  </r>
  <r>
    <x v="5"/>
    <x v="3"/>
    <x v="1"/>
    <n v="641"/>
  </r>
  <r>
    <x v="5"/>
    <x v="0"/>
    <x v="1"/>
    <n v="240"/>
  </r>
  <r>
    <x v="5"/>
    <x v="5"/>
    <x v="2"/>
    <n v="253"/>
  </r>
  <r>
    <x v="5"/>
    <x v="2"/>
    <x v="2"/>
    <n v="898"/>
  </r>
  <r>
    <x v="5"/>
    <x v="1"/>
    <x v="2"/>
    <n v="783"/>
  </r>
  <r>
    <x v="5"/>
    <x v="4"/>
    <x v="2"/>
    <n v="252"/>
  </r>
  <r>
    <x v="5"/>
    <x v="3"/>
    <x v="2"/>
    <n v="963"/>
  </r>
  <r>
    <x v="5"/>
    <x v="0"/>
    <x v="2"/>
    <n v="418"/>
  </r>
  <r>
    <x v="6"/>
    <x v="5"/>
    <x v="0"/>
    <n v="494"/>
  </r>
  <r>
    <x v="6"/>
    <x v="2"/>
    <x v="0"/>
    <n v="515"/>
  </r>
  <r>
    <x v="6"/>
    <x v="1"/>
    <x v="0"/>
    <n v="752"/>
  </r>
  <r>
    <x v="6"/>
    <x v="4"/>
    <x v="0"/>
    <n v="646"/>
  </r>
  <r>
    <x v="6"/>
    <x v="3"/>
    <x v="0"/>
    <n v="208"/>
  </r>
  <r>
    <x v="6"/>
    <x v="0"/>
    <x v="0"/>
    <n v="174"/>
  </r>
  <r>
    <x v="6"/>
    <x v="5"/>
    <x v="1"/>
    <n v="136"/>
  </r>
  <r>
    <x v="6"/>
    <x v="2"/>
    <x v="1"/>
    <n v="736"/>
  </r>
  <r>
    <x v="6"/>
    <x v="1"/>
    <x v="1"/>
    <n v="331"/>
  </r>
  <r>
    <x v="6"/>
    <x v="4"/>
    <x v="1"/>
    <n v="330"/>
  </r>
  <r>
    <x v="6"/>
    <x v="3"/>
    <x v="1"/>
    <n v="838"/>
  </r>
  <r>
    <x v="6"/>
    <x v="0"/>
    <x v="1"/>
    <n v="620"/>
  </r>
  <r>
    <x v="6"/>
    <x v="5"/>
    <x v="2"/>
    <n v="299"/>
  </r>
  <r>
    <x v="6"/>
    <x v="2"/>
    <x v="2"/>
    <n v="101"/>
  </r>
  <r>
    <x v="6"/>
    <x v="1"/>
    <x v="2"/>
    <n v="235"/>
  </r>
  <r>
    <x v="6"/>
    <x v="4"/>
    <x v="2"/>
    <n v="692"/>
  </r>
  <r>
    <x v="6"/>
    <x v="3"/>
    <x v="2"/>
    <n v="431"/>
  </r>
  <r>
    <x v="6"/>
    <x v="0"/>
    <x v="2"/>
    <n v="161"/>
  </r>
  <r>
    <x v="7"/>
    <x v="5"/>
    <x v="0"/>
    <n v="151"/>
  </r>
  <r>
    <x v="7"/>
    <x v="2"/>
    <x v="0"/>
    <n v="858"/>
  </r>
  <r>
    <x v="7"/>
    <x v="1"/>
    <x v="0"/>
    <n v="132"/>
  </r>
  <r>
    <x v="7"/>
    <x v="4"/>
    <x v="0"/>
    <n v="238"/>
  </r>
  <r>
    <x v="7"/>
    <x v="3"/>
    <x v="0"/>
    <n v="492"/>
  </r>
  <r>
    <x v="7"/>
    <x v="0"/>
    <x v="0"/>
    <n v="293"/>
  </r>
  <r>
    <x v="7"/>
    <x v="5"/>
    <x v="1"/>
    <n v="759"/>
  </r>
  <r>
    <x v="7"/>
    <x v="2"/>
    <x v="1"/>
    <n v="901"/>
  </r>
  <r>
    <x v="7"/>
    <x v="1"/>
    <x v="1"/>
    <n v="609"/>
  </r>
  <r>
    <x v="7"/>
    <x v="4"/>
    <x v="1"/>
    <n v="119"/>
  </r>
  <r>
    <x v="7"/>
    <x v="3"/>
    <x v="1"/>
    <n v="746"/>
  </r>
  <r>
    <x v="7"/>
    <x v="0"/>
    <x v="1"/>
    <n v="638"/>
  </r>
  <r>
    <x v="7"/>
    <x v="5"/>
    <x v="2"/>
    <n v="866"/>
  </r>
  <r>
    <x v="7"/>
    <x v="2"/>
    <x v="2"/>
    <n v="238"/>
  </r>
  <r>
    <x v="7"/>
    <x v="1"/>
    <x v="2"/>
    <n v="894"/>
  </r>
  <r>
    <x v="7"/>
    <x v="4"/>
    <x v="2"/>
    <n v="642"/>
  </r>
  <r>
    <x v="7"/>
    <x v="3"/>
    <x v="2"/>
    <n v="358"/>
  </r>
  <r>
    <x v="7"/>
    <x v="0"/>
    <x v="2"/>
    <n v="774"/>
  </r>
  <r>
    <x v="8"/>
    <x v="5"/>
    <x v="0"/>
    <n v="256"/>
  </r>
  <r>
    <x v="8"/>
    <x v="2"/>
    <x v="0"/>
    <n v="885"/>
  </r>
  <r>
    <x v="8"/>
    <x v="1"/>
    <x v="0"/>
    <n v="579"/>
  </r>
  <r>
    <x v="8"/>
    <x v="4"/>
    <x v="0"/>
    <n v="981"/>
  </r>
  <r>
    <x v="8"/>
    <x v="3"/>
    <x v="0"/>
    <n v="617"/>
  </r>
  <r>
    <x v="8"/>
    <x v="0"/>
    <x v="0"/>
    <n v="315"/>
  </r>
  <r>
    <x v="8"/>
    <x v="5"/>
    <x v="1"/>
    <n v="389"/>
  </r>
  <r>
    <x v="8"/>
    <x v="2"/>
    <x v="1"/>
    <n v="769"/>
  </r>
  <r>
    <x v="8"/>
    <x v="1"/>
    <x v="1"/>
    <n v="936"/>
  </r>
  <r>
    <x v="8"/>
    <x v="4"/>
    <x v="1"/>
    <n v="701"/>
  </r>
  <r>
    <x v="8"/>
    <x v="3"/>
    <x v="1"/>
    <n v="833"/>
  </r>
  <r>
    <x v="8"/>
    <x v="0"/>
    <x v="1"/>
    <n v="201"/>
  </r>
  <r>
    <x v="8"/>
    <x v="5"/>
    <x v="2"/>
    <n v="221"/>
  </r>
  <r>
    <x v="8"/>
    <x v="2"/>
    <x v="2"/>
    <n v="741"/>
  </r>
  <r>
    <x v="8"/>
    <x v="1"/>
    <x v="2"/>
    <n v="431"/>
  </r>
  <r>
    <x v="8"/>
    <x v="4"/>
    <x v="2"/>
    <n v="845"/>
  </r>
  <r>
    <x v="8"/>
    <x v="3"/>
    <x v="2"/>
    <n v="317"/>
  </r>
  <r>
    <x v="8"/>
    <x v="0"/>
    <x v="2"/>
    <n v="3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DC061F-B238-42E3-A1F6-15787263A9D4}" name="PivotTable2" cacheId="16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E14" firstHeaderRow="1" firstDataRow="2" firstDataCol="1"/>
  <pivotFields count="4">
    <pivotField axis="axisRow" showAll="0">
      <items count="10">
        <item sd="0" x="0"/>
        <item sd="0" x="1"/>
        <item sd="0" x="2"/>
        <item sd="0" x="3"/>
        <item sd="0" x="4"/>
        <item sd="0" x="5"/>
        <item sd="0" x="6"/>
        <item sd="0" x="7"/>
        <item sd="0" x="8"/>
        <item t="default" sd="0"/>
      </items>
    </pivotField>
    <pivotField axis="axisRow" showAll="0">
      <items count="7">
        <item x="4"/>
        <item x="1"/>
        <item x="0"/>
        <item x="5"/>
        <item x="3"/>
        <item x="2"/>
        <item t="default"/>
      </items>
    </pivotField>
    <pivotField axis="axisCol" showAll="0">
      <items count="4">
        <item x="1"/>
        <item x="2"/>
        <item x="0"/>
        <item t="default"/>
      </items>
    </pivotField>
    <pivotField dataField="1" numFmtId="164" showAll="0"/>
  </pivotFields>
  <rowFields count="2">
    <field x="0"/>
    <field x="1"/>
  </rowFields>
  <rowItems count="10">
    <i>
      <x/>
    </i>
    <i>
      <x v="1"/>
    </i>
    <i>
      <x v="2"/>
    </i>
    <i>
      <x v="3"/>
    </i>
    <i>
      <x v="4"/>
    </i>
    <i>
      <x v="5"/>
    </i>
    <i>
      <x v="6"/>
    </i>
    <i>
      <x v="7"/>
    </i>
    <i>
      <x v="8"/>
    </i>
    <i t="grand">
      <x/>
    </i>
  </rowItems>
  <colFields count="1">
    <field x="2"/>
  </colFields>
  <colItems count="4">
    <i>
      <x/>
    </i>
    <i>
      <x v="1"/>
    </i>
    <i>
      <x v="2"/>
    </i>
    <i t="grand">
      <x/>
    </i>
  </colItems>
  <dataFields count="1">
    <dataField name="Sum of Sales $" fld="3" baseField="0" baseItem="0" numFmtId="164"/>
  </dataFields>
  <formats count="1">
    <format dxfId="10">
      <pivotArea collapsedLevelsAreSubtotals="1" fieldPosition="0">
        <references count="3">
          <reference field="0" count="1" selected="0">
            <x v="1"/>
          </reference>
          <reference field="1" count="1">
            <x v="5"/>
          </reference>
          <reference field="2" count="1" selected="0">
            <x v="1"/>
          </reference>
        </references>
      </pivotArea>
    </format>
  </formats>
  <chartFormats count="3">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5E56BA-8CD7-4765-92E7-407C5544591A}" name="PivotTable1" cacheId="16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D54" firstHeaderRow="0" firstDataRow="1" firstDataCol="1" rowPageCount="1" colPageCount="1"/>
  <pivotFields count="24">
    <pivotField showAll="0"/>
    <pivotField showAll="0"/>
    <pivotField showAll="0"/>
    <pivotField showAll="0"/>
    <pivotField showAll="0"/>
    <pivotField showAll="0"/>
    <pivotField showAll="0"/>
    <pivotField showAll="0"/>
    <pivotField showAll="0"/>
    <pivotField axis="axisRow" showAll="0">
      <items count="81">
        <item x="59"/>
        <item x="34"/>
        <item x="78"/>
        <item x="41"/>
        <item x="71"/>
        <item x="39"/>
        <item x="51"/>
        <item x="72"/>
        <item x="35"/>
        <item x="22"/>
        <item x="74"/>
        <item x="77"/>
        <item x="29"/>
        <item x="38"/>
        <item x="3"/>
        <item x="61"/>
        <item x="27"/>
        <item x="60"/>
        <item x="66"/>
        <item x="18"/>
        <item x="65"/>
        <item x="28"/>
        <item x="16"/>
        <item x="50"/>
        <item x="54"/>
        <item x="2"/>
        <item x="5"/>
        <item x="47"/>
        <item x="9"/>
        <item x="23"/>
        <item x="55"/>
        <item x="57"/>
        <item x="0"/>
        <item x="12"/>
        <item x="44"/>
        <item x="75"/>
        <item x="25"/>
        <item x="69"/>
        <item x="1"/>
        <item x="6"/>
        <item x="64"/>
        <item x="15"/>
        <item x="26"/>
        <item x="31"/>
        <item x="53"/>
        <item x="73"/>
        <item x="14"/>
        <item x="19"/>
        <item x="20"/>
        <item x="46"/>
        <item x="11"/>
        <item x="36"/>
        <item x="45"/>
        <item x="10"/>
        <item x="42"/>
        <item x="32"/>
        <item x="56"/>
        <item x="13"/>
        <item x="30"/>
        <item x="43"/>
        <item x="63"/>
        <item x="33"/>
        <item x="52"/>
        <item x="70"/>
        <item x="8"/>
        <item x="49"/>
        <item x="68"/>
        <item x="48"/>
        <item x="4"/>
        <item x="24"/>
        <item x="76"/>
        <item x="67"/>
        <item x="21"/>
        <item x="37"/>
        <item x="7"/>
        <item x="58"/>
        <item x="17"/>
        <item x="62"/>
        <item x="40"/>
        <item x="79"/>
        <item t="default"/>
      </items>
    </pivotField>
    <pivotField showAll="0"/>
    <pivotField showAll="0"/>
    <pivotField showAll="0"/>
    <pivotField showAll="0"/>
    <pivotField showAll="0">
      <items count="2">
        <item x="0"/>
        <item t="default"/>
      </items>
    </pivotField>
    <pivotField axis="axisPage" multipleItemSelectionAllowed="1" showAll="0">
      <items count="8">
        <item h="1" x="6"/>
        <item h="1" x="1"/>
        <item x="0"/>
        <item h="1" x="2"/>
        <item h="1" x="5"/>
        <item h="1" x="4"/>
        <item h="1" x="3"/>
        <item t="default"/>
      </items>
    </pivotField>
    <pivotField showAll="0"/>
    <pivotField dataField="1" showAll="0"/>
    <pivotField dataField="1" showAll="0"/>
    <pivotField showAll="0"/>
    <pivotField dataField="1" showAll="0"/>
    <pivotField showAll="0"/>
    <pivotField numFmtId="165" showAll="0"/>
    <pivotField showAll="0"/>
  </pivotFields>
  <rowFields count="1">
    <field x="9"/>
  </rowFields>
  <rowItems count="50">
    <i>
      <x v="1"/>
    </i>
    <i>
      <x v="4"/>
    </i>
    <i>
      <x v="6"/>
    </i>
    <i>
      <x v="8"/>
    </i>
    <i>
      <x v="9"/>
    </i>
    <i>
      <x v="10"/>
    </i>
    <i>
      <x v="11"/>
    </i>
    <i>
      <x v="12"/>
    </i>
    <i>
      <x v="13"/>
    </i>
    <i>
      <x v="14"/>
    </i>
    <i>
      <x v="15"/>
    </i>
    <i>
      <x v="16"/>
    </i>
    <i>
      <x v="19"/>
    </i>
    <i>
      <x v="20"/>
    </i>
    <i>
      <x v="23"/>
    </i>
    <i>
      <x v="25"/>
    </i>
    <i>
      <x v="26"/>
    </i>
    <i>
      <x v="27"/>
    </i>
    <i>
      <x v="29"/>
    </i>
    <i>
      <x v="30"/>
    </i>
    <i>
      <x v="31"/>
    </i>
    <i>
      <x v="32"/>
    </i>
    <i>
      <x v="33"/>
    </i>
    <i>
      <x v="34"/>
    </i>
    <i>
      <x v="37"/>
    </i>
    <i>
      <x v="38"/>
    </i>
    <i>
      <x v="40"/>
    </i>
    <i>
      <x v="41"/>
    </i>
    <i>
      <x v="42"/>
    </i>
    <i>
      <x v="44"/>
    </i>
    <i>
      <x v="47"/>
    </i>
    <i>
      <x v="48"/>
    </i>
    <i>
      <x v="50"/>
    </i>
    <i>
      <x v="53"/>
    </i>
    <i>
      <x v="54"/>
    </i>
    <i>
      <x v="55"/>
    </i>
    <i>
      <x v="57"/>
    </i>
    <i>
      <x v="58"/>
    </i>
    <i>
      <x v="59"/>
    </i>
    <i>
      <x v="60"/>
    </i>
    <i>
      <x v="62"/>
    </i>
    <i>
      <x v="64"/>
    </i>
    <i>
      <x v="67"/>
    </i>
    <i>
      <x v="68"/>
    </i>
    <i>
      <x v="71"/>
    </i>
    <i>
      <x v="72"/>
    </i>
    <i>
      <x v="73"/>
    </i>
    <i>
      <x v="78"/>
    </i>
    <i>
      <x v="79"/>
    </i>
    <i t="grand">
      <x/>
    </i>
  </rowItems>
  <colFields count="1">
    <field x="-2"/>
  </colFields>
  <colItems count="3">
    <i>
      <x/>
    </i>
    <i i="1">
      <x v="1"/>
    </i>
    <i i="2">
      <x v="2"/>
    </i>
  </colItems>
  <pageFields count="1">
    <pageField fld="15" hier="-1"/>
  </pageFields>
  <dataFields count="3">
    <dataField name="Sum of Quantity" fld="18" baseField="0" baseItem="0"/>
    <dataField name="Sum of Sales" fld="17" baseField="0" baseItem="0" numFmtId="167"/>
    <dataField name="Sum of Net Profit" fld="20" baseField="0" baseItem="0" numFmtId="167"/>
  </dataFields>
  <formats count="5">
    <format dxfId="5">
      <pivotArea collapsedLevelsAreSubtotals="1" fieldPosition="0">
        <references count="2">
          <reference field="4294967294" count="1" selected="0">
            <x v="1"/>
          </reference>
          <reference field="9" count="1">
            <x v="13"/>
          </reference>
        </references>
      </pivotArea>
    </format>
    <format dxfId="6">
      <pivotArea outline="0" collapsedLevelsAreSubtotals="1" fieldPosition="0">
        <references count="1">
          <reference field="4294967294" count="1" selected="0">
            <x v="1"/>
          </reference>
        </references>
      </pivotArea>
    </format>
    <format dxfId="7">
      <pivotArea dataOnly="0" labelOnly="1" outline="0" fieldPosition="0">
        <references count="1">
          <reference field="4294967294" count="1">
            <x v="1"/>
          </reference>
        </references>
      </pivotArea>
    </format>
    <format dxfId="8">
      <pivotArea outline="0" collapsedLevelsAreSubtotals="1" fieldPosition="0">
        <references count="1">
          <reference field="4294967294" count="1" selected="0">
            <x v="2"/>
          </reference>
        </references>
      </pivotArea>
    </format>
    <format dxfId="9">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6E6FE5-D39F-43A3-B1E8-3146AE4CA570}" name="Table1" displayName="Table1" ref="A1:W307" totalsRowCount="1" headerRowDxfId="4">
  <autoFilter ref="A1:W306" xr:uid="{4F6E6FE5-D39F-43A3-B1E8-3146AE4CA570}">
    <filterColumn colId="10">
      <filters>
        <filter val="California"/>
      </filters>
    </filterColumn>
    <filterColumn colId="15">
      <filters>
        <filter val="Indoor Plants"/>
      </filters>
    </filterColumn>
  </autoFilter>
  <tableColumns count="23">
    <tableColumn id="1" xr3:uid="{D6416116-688B-4CB7-AC9B-A9BA5EBAF217}" name="Row ID" totalsRowLabel="Total"/>
    <tableColumn id="2" xr3:uid="{6557D8F3-E96E-46C8-9790-A85388C09DAF}" name="Order ID"/>
    <tableColumn id="3" xr3:uid="{C9C127F3-A2C4-4988-B2B2-9C8DEAC789C0}" name="Order Date"/>
    <tableColumn id="4" xr3:uid="{1AE282D1-CB63-4AE7-B20C-84CA2BFB6DC1}" name="Ship Date"/>
    <tableColumn id="5" xr3:uid="{932C17D3-3D9F-4E3C-A6E5-9B10D8582CD6}" name="Ship Mode"/>
    <tableColumn id="6" xr3:uid="{49F26E0B-190F-490F-B1B2-610A81F0BAD9}" name="Customer ID"/>
    <tableColumn id="7" xr3:uid="{05EF3499-7544-45F0-B81B-2ED9DD2B879C}" name="Customer Name"/>
    <tableColumn id="8" xr3:uid="{B7505A14-E718-4CA7-B9DD-0C4F8CFC4294}" name="Segment"/>
    <tableColumn id="9" xr3:uid="{5DE425DC-078C-44F0-B438-C07F12E5290D}" name="Country"/>
    <tableColumn id="10" xr3:uid="{4A49750D-B3B5-4BE0-9B4D-B6898615B010}" name="City"/>
    <tableColumn id="11" xr3:uid="{898C2D57-DF54-4626-BDB8-086C79BC2AB5}" name="State"/>
    <tableColumn id="12" xr3:uid="{5CE6B41B-B5A8-44F3-9AC8-3D5B9A5DCE3B}" name="Postal Code"/>
    <tableColumn id="13" xr3:uid="{A2F2E447-D056-47BC-B27F-E853E13D2BF2}" name="Region"/>
    <tableColumn id="14" xr3:uid="{8B35B4FF-6EDC-436B-9210-07E3B86381AB}" name="Product ID"/>
    <tableColumn id="15" xr3:uid="{36732625-3B53-4178-820D-D96EDF4AA0E2}" name="Category"/>
    <tableColumn id="16" xr3:uid="{A65244E1-CA7E-448E-B8D5-E49E1914B994}" name="Sub-Category"/>
    <tableColumn id="17" xr3:uid="{FB90CF1C-1574-4174-982C-CF5DD139C738}" name="Product Name"/>
    <tableColumn id="18" xr3:uid="{DA04E92A-DEA0-4357-BD75-7F63DEBAA195}" name="Sales" totalsRowFunction="sum"/>
    <tableColumn id="19" xr3:uid="{415C9AF8-6AB6-4599-8229-23C28C56FD82}" name="Quantity" totalsRowFunction="sum"/>
    <tableColumn id="20" xr3:uid="{1EC40680-0BC5-471C-A466-2E019A375F2A}" name="Discount" dataDxfId="3">
      <calculatedColumnFormula>IFERROR(IF(S2&gt;=5,VLOOKUP(S2,$X$311:$Y$313,2,TRUE),0),0)</calculatedColumnFormula>
    </tableColumn>
    <tableColumn id="21" xr3:uid="{6BFE66A2-D33E-4BE0-9AA7-ACFB688C5AE0}" name="Net Profit"/>
    <tableColumn id="22" xr3:uid="{C3E7AAF8-3C39-4D75-ABC8-B54FFE276573}" name="Discount $ Value" dataDxfId="1" totalsRowDxfId="2">
      <calculatedColumnFormula>R2*T2</calculatedColumnFormula>
    </tableColumn>
    <tableColumn id="23" xr3:uid="{618D5D36-A0FA-4863-98C0-EE94556C996B}" name="Profit Margin" dataDxfId="0">
      <calculatedColumnFormula>U2/R2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40000"/>
                <a:satMod val="155000"/>
              </a:schemeClr>
            </a:gs>
            <a:gs pos="65000">
              <a:schemeClr val="phClr">
                <a:shade val="85000"/>
                <a:satMod val="155000"/>
              </a:schemeClr>
            </a:gs>
            <a:gs pos="100000">
              <a:schemeClr val="phClr">
                <a:shade val="95000"/>
                <a:satMod val="155000"/>
              </a:schemeClr>
            </a:gs>
          </a:gsLst>
          <a:lin ang="16200000" scaled="0"/>
        </a:gradFill>
      </a:fillStyleLst>
      <a:lnStyleLst>
        <a:ln w="6350" cap="rnd" cmpd="sng" algn="ctr">
          <a:solidFill>
            <a:schemeClr val="phClr">
              <a:shade val="95000"/>
              <a:satMod val="105000"/>
            </a:schemeClr>
          </a:solidFill>
          <a:prstDash val="solid"/>
        </a:ln>
        <a:ln w="25400" cap="flat" cmpd="sng" algn="ctr">
          <a:solidFill>
            <a:schemeClr val="phClr"/>
          </a:solidFill>
          <a:prstDash val="solid"/>
        </a:ln>
        <a:ln w="34925" cap="rnd" cmpd="sng" algn="ctr">
          <a:solidFill>
            <a:schemeClr val="phClr"/>
          </a:solidFill>
          <a:prstDash val="solid"/>
        </a:ln>
      </a:lnStyleLst>
      <a:effectStyleLst>
        <a:effectStyle>
          <a:effectLst>
            <a:outerShdw blurRad="50800" algn="tl" rotWithShape="0">
              <a:srgbClr val="000000">
                <a:alpha val="64000"/>
              </a:srgbClr>
            </a:outerShdw>
          </a:effectLst>
        </a:effectStyle>
        <a:effectStyle>
          <a:effectLst>
            <a:outerShdw blurRad="39000" dist="25400" dir="5400000">
              <a:srgbClr val="000000">
                <a:alpha val="35000"/>
              </a:srgbClr>
            </a:outerShdw>
          </a:effectLst>
        </a:effectStyle>
        <a:effectStyle>
          <a:effectLst>
            <a:outerShdw blurRad="39000" dist="25400" dir="5400000">
              <a:srgbClr val="000000">
                <a:alpha val="35000"/>
              </a:srgbClr>
            </a:outerShdw>
          </a:effectLst>
          <a:scene3d>
            <a:camera prst="orthographicFront" fov="0">
              <a:rot lat="0" lon="0" rev="0"/>
            </a:camera>
            <a:lightRig rig="threePt" dir="t">
              <a:rot lat="0" lon="0" rev="0"/>
            </a:lightRig>
          </a:scene3d>
          <a:sp3d prstMaterial="matte">
            <a:bevelT h="22225"/>
          </a:sp3d>
        </a:effectStyle>
      </a:effectStyleLst>
      <a:bgFillStyleLst>
        <a:solidFill>
          <a:schemeClr val="phClr"/>
        </a:solidFill>
        <a:gradFill rotWithShape="1">
          <a:gsLst>
            <a:gs pos="0">
              <a:schemeClr val="phClr">
                <a:shade val="50000"/>
                <a:satMod val="155000"/>
              </a:schemeClr>
            </a:gs>
            <a:gs pos="35000">
              <a:schemeClr val="phClr">
                <a:shade val="75000"/>
                <a:satMod val="155000"/>
              </a:schemeClr>
            </a:gs>
            <a:gs pos="100000">
              <a:schemeClr val="phClr">
                <a:tint val="80000"/>
                <a:satMod val="255000"/>
              </a:schemeClr>
            </a:gs>
          </a:gsLst>
          <a:lin ang="162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820DB-08D6-4B4E-BFCE-28FD8D5BAF98}">
  <dimension ref="A1:J14"/>
  <sheetViews>
    <sheetView tabSelected="1" workbookViewId="0">
      <selection activeCell="K11" sqref="K11"/>
    </sheetView>
  </sheetViews>
  <sheetFormatPr defaultRowHeight="13.15"/>
  <cols>
    <col min="1" max="1" width="14" bestFit="1" customWidth="1"/>
    <col min="2" max="2" width="16.28515625" bestFit="1" customWidth="1"/>
    <col min="3" max="4" width="7.5703125" bestFit="1" customWidth="1"/>
    <col min="5" max="5" width="11.28515625" bestFit="1" customWidth="1"/>
    <col min="9" max="9" width="31.85546875" customWidth="1"/>
  </cols>
  <sheetData>
    <row r="1" spans="1:10">
      <c r="I1" s="15"/>
      <c r="J1" s="15" t="s">
        <v>0</v>
      </c>
    </row>
    <row r="2" spans="1:10">
      <c r="I2" s="15"/>
      <c r="J2" s="15" t="s">
        <v>1</v>
      </c>
    </row>
    <row r="3" spans="1:10">
      <c r="A3" s="12" t="s">
        <v>2</v>
      </c>
      <c r="B3" s="12" t="s">
        <v>3</v>
      </c>
      <c r="J3" t="s">
        <v>4</v>
      </c>
    </row>
    <row r="4" spans="1:10">
      <c r="A4" s="12" t="s">
        <v>5</v>
      </c>
      <c r="B4" t="s">
        <v>6</v>
      </c>
      <c r="C4" t="s">
        <v>7</v>
      </c>
      <c r="D4" t="s">
        <v>1</v>
      </c>
      <c r="E4" t="s">
        <v>8</v>
      </c>
    </row>
    <row r="5" spans="1:10">
      <c r="A5" s="13" t="s">
        <v>9</v>
      </c>
      <c r="B5" s="7">
        <v>2747</v>
      </c>
      <c r="C5" s="7"/>
      <c r="D5" s="7">
        <v>1103</v>
      </c>
      <c r="E5" s="7">
        <v>3850</v>
      </c>
    </row>
    <row r="6" spans="1:10">
      <c r="A6" s="13" t="s">
        <v>10</v>
      </c>
      <c r="B6" s="7">
        <v>3936</v>
      </c>
      <c r="C6" s="7">
        <v>4760</v>
      </c>
      <c r="D6" s="7">
        <v>1248</v>
      </c>
      <c r="E6" s="7">
        <v>9944</v>
      </c>
    </row>
    <row r="7" spans="1:10">
      <c r="A7" s="13" t="s">
        <v>0</v>
      </c>
      <c r="B7" s="7">
        <v>18087</v>
      </c>
      <c r="C7" s="7">
        <v>17394</v>
      </c>
      <c r="D7" s="7">
        <v>18261</v>
      </c>
      <c r="E7" s="7">
        <v>53742</v>
      </c>
    </row>
    <row r="8" spans="1:10">
      <c r="A8" s="13" t="s">
        <v>11</v>
      </c>
      <c r="B8" s="7">
        <v>4244</v>
      </c>
      <c r="C8" s="7">
        <v>3312</v>
      </c>
      <c r="D8" s="7">
        <v>3299</v>
      </c>
      <c r="E8" s="7">
        <v>10855</v>
      </c>
    </row>
    <row r="9" spans="1:10">
      <c r="A9" s="13" t="s">
        <v>12</v>
      </c>
      <c r="B9" s="7">
        <v>3658</v>
      </c>
      <c r="C9" s="7">
        <v>3552</v>
      </c>
      <c r="D9" s="7">
        <v>3052</v>
      </c>
      <c r="E9" s="7">
        <v>10262</v>
      </c>
    </row>
    <row r="10" spans="1:10">
      <c r="A10" s="13" t="s">
        <v>13</v>
      </c>
      <c r="B10" s="7">
        <v>1699</v>
      </c>
      <c r="C10" s="7">
        <v>3567</v>
      </c>
      <c r="D10" s="7">
        <v>4274</v>
      </c>
      <c r="E10" s="7">
        <v>9540</v>
      </c>
    </row>
    <row r="11" spans="1:10">
      <c r="A11" s="13" t="s">
        <v>14</v>
      </c>
      <c r="B11" s="7">
        <v>2991</v>
      </c>
      <c r="C11" s="7">
        <v>1919</v>
      </c>
      <c r="D11" s="7">
        <v>2789</v>
      </c>
      <c r="E11" s="7">
        <v>7699</v>
      </c>
    </row>
    <row r="12" spans="1:10">
      <c r="A12" s="13" t="s">
        <v>15</v>
      </c>
      <c r="B12" s="7">
        <v>3772</v>
      </c>
      <c r="C12" s="7">
        <v>3772</v>
      </c>
      <c r="D12" s="7">
        <v>2164</v>
      </c>
      <c r="E12" s="7">
        <v>9708</v>
      </c>
    </row>
    <row r="13" spans="1:10">
      <c r="A13" s="13" t="s">
        <v>16</v>
      </c>
      <c r="B13" s="7">
        <v>3829</v>
      </c>
      <c r="C13" s="7">
        <v>2882</v>
      </c>
      <c r="D13" s="7">
        <v>3633</v>
      </c>
      <c r="E13" s="7">
        <v>10344</v>
      </c>
    </row>
    <row r="14" spans="1:10">
      <c r="A14" s="13" t="s">
        <v>8</v>
      </c>
      <c r="B14" s="7">
        <v>44963</v>
      </c>
      <c r="C14" s="7">
        <v>41158</v>
      </c>
      <c r="D14" s="7">
        <v>39823</v>
      </c>
      <c r="E14" s="7">
        <v>125944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L225"/>
  <sheetViews>
    <sheetView workbookViewId="0">
      <selection activeCell="B14" sqref="B14"/>
    </sheetView>
  </sheetViews>
  <sheetFormatPr defaultRowHeight="13.15"/>
  <cols>
    <col min="1" max="1" width="10" bestFit="1" customWidth="1"/>
    <col min="2" max="2" width="21.140625" bestFit="1" customWidth="1"/>
    <col min="3" max="3" width="10.85546875" bestFit="1" customWidth="1"/>
    <col min="4" max="4" width="9.140625" style="3" customWidth="1"/>
    <col min="5" max="5" width="11.7109375" bestFit="1" customWidth="1"/>
    <col min="10" max="10" width="16.7109375" customWidth="1"/>
    <col min="12" max="12" width="13.85546875" customWidth="1"/>
  </cols>
  <sheetData>
    <row r="1" spans="1:12">
      <c r="A1" s="1" t="s">
        <v>17</v>
      </c>
      <c r="B1" s="1" t="s">
        <v>18</v>
      </c>
      <c r="C1" s="1" t="s">
        <v>19</v>
      </c>
      <c r="D1" s="2" t="s">
        <v>20</v>
      </c>
      <c r="J1" t="s">
        <v>21</v>
      </c>
      <c r="K1" t="s">
        <v>22</v>
      </c>
      <c r="L1" t="s">
        <v>23</v>
      </c>
    </row>
    <row r="2" spans="1:12">
      <c r="A2" t="s">
        <v>9</v>
      </c>
      <c r="B2" t="s">
        <v>24</v>
      </c>
      <c r="C2" t="s">
        <v>1</v>
      </c>
      <c r="D2" s="7">
        <v>144</v>
      </c>
      <c r="E2" s="3"/>
      <c r="J2" t="s">
        <v>25</v>
      </c>
      <c r="K2">
        <v>9</v>
      </c>
      <c r="L2" t="s">
        <v>26</v>
      </c>
    </row>
    <row r="3" spans="1:12">
      <c r="A3" t="s">
        <v>9</v>
      </c>
      <c r="B3" t="s">
        <v>27</v>
      </c>
      <c r="C3" t="s">
        <v>1</v>
      </c>
      <c r="D3" s="7">
        <v>146</v>
      </c>
      <c r="E3" s="3"/>
    </row>
    <row r="4" spans="1:12">
      <c r="A4" t="s">
        <v>9</v>
      </c>
      <c r="B4" t="s">
        <v>27</v>
      </c>
      <c r="C4" t="s">
        <v>6</v>
      </c>
      <c r="D4" s="7">
        <v>364</v>
      </c>
      <c r="E4" s="3"/>
    </row>
    <row r="5" spans="1:12">
      <c r="A5" t="s">
        <v>9</v>
      </c>
      <c r="B5" t="s">
        <v>28</v>
      </c>
      <c r="C5" t="s">
        <v>6</v>
      </c>
      <c r="D5" s="7">
        <v>867</v>
      </c>
      <c r="E5" s="3"/>
    </row>
    <row r="6" spans="1:12">
      <c r="A6" t="s">
        <v>9</v>
      </c>
      <c r="B6" t="s">
        <v>29</v>
      </c>
      <c r="C6" t="s">
        <v>1</v>
      </c>
      <c r="D6" s="7">
        <v>363</v>
      </c>
      <c r="E6" s="3"/>
    </row>
    <row r="7" spans="1:12">
      <c r="A7" t="s">
        <v>9</v>
      </c>
      <c r="B7" t="s">
        <v>30</v>
      </c>
      <c r="C7" t="s">
        <v>1</v>
      </c>
      <c r="D7" s="7">
        <v>450</v>
      </c>
      <c r="E7" s="3"/>
    </row>
    <row r="8" spans="1:12">
      <c r="A8" t="s">
        <v>9</v>
      </c>
      <c r="B8" t="s">
        <v>29</v>
      </c>
      <c r="C8" t="s">
        <v>6</v>
      </c>
      <c r="D8" s="7">
        <v>686</v>
      </c>
      <c r="E8" s="3"/>
    </row>
    <row r="9" spans="1:12">
      <c r="A9" t="s">
        <v>9</v>
      </c>
      <c r="B9" t="s">
        <v>31</v>
      </c>
      <c r="C9" t="s">
        <v>6</v>
      </c>
      <c r="D9" s="7">
        <v>830</v>
      </c>
      <c r="E9" s="3"/>
    </row>
    <row r="10" spans="1:12">
      <c r="A10" t="s">
        <v>10</v>
      </c>
      <c r="B10" t="s">
        <v>31</v>
      </c>
      <c r="C10" t="s">
        <v>7</v>
      </c>
      <c r="D10" s="7">
        <v>766</v>
      </c>
      <c r="E10" s="3"/>
    </row>
    <row r="11" spans="1:12">
      <c r="A11" t="s">
        <v>10</v>
      </c>
      <c r="B11" t="s">
        <v>28</v>
      </c>
      <c r="C11" t="s">
        <v>7</v>
      </c>
      <c r="D11" s="7">
        <v>842</v>
      </c>
      <c r="E11" s="3"/>
    </row>
    <row r="12" spans="1:12">
      <c r="A12" t="s">
        <v>10</v>
      </c>
      <c r="B12" t="s">
        <v>27</v>
      </c>
      <c r="C12" t="s">
        <v>1</v>
      </c>
      <c r="D12" s="7">
        <v>305</v>
      </c>
      <c r="E12" s="3"/>
    </row>
    <row r="13" spans="1:12">
      <c r="A13" t="s">
        <v>10</v>
      </c>
      <c r="B13" t="s">
        <v>30</v>
      </c>
      <c r="C13" t="s">
        <v>1</v>
      </c>
      <c r="D13" s="7">
        <v>183</v>
      </c>
      <c r="E13" s="3"/>
    </row>
    <row r="14" spans="1:12">
      <c r="A14" t="s">
        <v>10</v>
      </c>
      <c r="B14" t="s">
        <v>29</v>
      </c>
      <c r="C14" t="s">
        <v>1</v>
      </c>
      <c r="D14" s="7">
        <v>142</v>
      </c>
      <c r="E14" s="3"/>
    </row>
    <row r="15" spans="1:12">
      <c r="A15" t="s">
        <v>10</v>
      </c>
      <c r="B15" t="s">
        <v>24</v>
      </c>
      <c r="C15" t="s">
        <v>1</v>
      </c>
      <c r="D15" s="7">
        <v>618</v>
      </c>
      <c r="E15" s="3"/>
    </row>
    <row r="16" spans="1:12">
      <c r="A16" t="s">
        <v>10</v>
      </c>
      <c r="B16" t="s">
        <v>31</v>
      </c>
      <c r="C16" t="s">
        <v>6</v>
      </c>
      <c r="D16" s="7">
        <v>791</v>
      </c>
      <c r="E16" s="3"/>
    </row>
    <row r="17" spans="1:5">
      <c r="A17" t="s">
        <v>10</v>
      </c>
      <c r="B17" t="s">
        <v>28</v>
      </c>
      <c r="C17" t="s">
        <v>6</v>
      </c>
      <c r="D17" s="7">
        <v>633</v>
      </c>
      <c r="E17" s="3"/>
    </row>
    <row r="18" spans="1:5">
      <c r="A18" t="s">
        <v>10</v>
      </c>
      <c r="B18" t="s">
        <v>27</v>
      </c>
      <c r="C18" t="s">
        <v>6</v>
      </c>
      <c r="D18" s="7">
        <v>679</v>
      </c>
      <c r="E18" s="3"/>
    </row>
    <row r="19" spans="1:5">
      <c r="A19" t="s">
        <v>10</v>
      </c>
      <c r="B19" t="s">
        <v>30</v>
      </c>
      <c r="C19" t="s">
        <v>6</v>
      </c>
      <c r="D19" s="7">
        <v>797</v>
      </c>
      <c r="E19" s="3"/>
    </row>
    <row r="20" spans="1:5">
      <c r="A20" t="s">
        <v>10</v>
      </c>
      <c r="B20" t="s">
        <v>29</v>
      </c>
      <c r="C20" t="s">
        <v>6</v>
      </c>
      <c r="D20" s="7">
        <v>729</v>
      </c>
      <c r="E20" s="3"/>
    </row>
    <row r="21" spans="1:5">
      <c r="A21" t="s">
        <v>10</v>
      </c>
      <c r="B21" t="s">
        <v>24</v>
      </c>
      <c r="C21" t="s">
        <v>6</v>
      </c>
      <c r="D21" s="7">
        <v>307</v>
      </c>
      <c r="E21" s="3"/>
    </row>
    <row r="22" spans="1:5">
      <c r="A22" t="s">
        <v>10</v>
      </c>
      <c r="B22" t="s">
        <v>31</v>
      </c>
      <c r="C22" t="s">
        <v>7</v>
      </c>
      <c r="D22" s="7">
        <v>523</v>
      </c>
      <c r="E22" s="3"/>
    </row>
    <row r="23" spans="1:5">
      <c r="A23" t="s">
        <v>10</v>
      </c>
      <c r="B23" t="s">
        <v>28</v>
      </c>
      <c r="C23" t="s">
        <v>7</v>
      </c>
      <c r="D23" s="7">
        <v>900</v>
      </c>
      <c r="E23" s="3"/>
    </row>
    <row r="24" spans="1:5">
      <c r="A24" t="s">
        <v>10</v>
      </c>
      <c r="B24" t="s">
        <v>27</v>
      </c>
      <c r="C24" t="s">
        <v>7</v>
      </c>
      <c r="D24" s="7">
        <v>192</v>
      </c>
      <c r="E24" s="3"/>
    </row>
    <row r="25" spans="1:5">
      <c r="A25" t="s">
        <v>10</v>
      </c>
      <c r="B25" t="s">
        <v>30</v>
      </c>
      <c r="C25" t="s">
        <v>7</v>
      </c>
      <c r="D25" s="7">
        <v>446</v>
      </c>
      <c r="E25" s="3"/>
    </row>
    <row r="26" spans="1:5">
      <c r="A26" t="s">
        <v>10</v>
      </c>
      <c r="B26" t="s">
        <v>29</v>
      </c>
      <c r="C26" t="s">
        <v>7</v>
      </c>
      <c r="D26" s="7">
        <v>318</v>
      </c>
      <c r="E26" s="3"/>
    </row>
    <row r="27" spans="1:5">
      <c r="A27" t="s">
        <v>10</v>
      </c>
      <c r="B27" t="s">
        <v>24</v>
      </c>
      <c r="C27" t="s">
        <v>7</v>
      </c>
      <c r="D27" s="7">
        <v>773</v>
      </c>
      <c r="E27" s="3"/>
    </row>
    <row r="28" spans="1:5">
      <c r="A28" t="s">
        <v>0</v>
      </c>
      <c r="B28" t="s">
        <v>31</v>
      </c>
      <c r="C28" t="s">
        <v>1</v>
      </c>
      <c r="D28" s="7">
        <v>137</v>
      </c>
      <c r="E28" s="3"/>
    </row>
    <row r="29" spans="1:5">
      <c r="A29" t="s">
        <v>0</v>
      </c>
      <c r="B29" t="s">
        <v>28</v>
      </c>
      <c r="C29" t="s">
        <v>1</v>
      </c>
      <c r="D29" s="7">
        <v>732</v>
      </c>
      <c r="E29" s="3"/>
    </row>
    <row r="30" spans="1:5">
      <c r="A30" t="s">
        <v>0</v>
      </c>
      <c r="B30" t="s">
        <v>27</v>
      </c>
      <c r="C30" t="s">
        <v>1</v>
      </c>
      <c r="D30" s="7">
        <v>522</v>
      </c>
      <c r="E30" s="3"/>
    </row>
    <row r="31" spans="1:5">
      <c r="A31" t="s">
        <v>0</v>
      </c>
      <c r="B31" t="s">
        <v>30</v>
      </c>
      <c r="C31" t="s">
        <v>1</v>
      </c>
      <c r="D31" s="7">
        <v>473</v>
      </c>
      <c r="E31" s="3"/>
    </row>
    <row r="32" spans="1:5">
      <c r="A32" t="s">
        <v>0</v>
      </c>
      <c r="B32" t="s">
        <v>29</v>
      </c>
      <c r="C32" t="s">
        <v>1</v>
      </c>
      <c r="D32" s="7">
        <v>849</v>
      </c>
      <c r="E32" s="3"/>
    </row>
    <row r="33" spans="1:5">
      <c r="A33" t="s">
        <v>0</v>
      </c>
      <c r="B33" t="s">
        <v>24</v>
      </c>
      <c r="C33" t="s">
        <v>1</v>
      </c>
      <c r="D33" s="7">
        <v>571</v>
      </c>
      <c r="E33" s="3"/>
    </row>
    <row r="34" spans="1:5">
      <c r="A34" t="s">
        <v>0</v>
      </c>
      <c r="B34" t="s">
        <v>31</v>
      </c>
      <c r="C34" t="s">
        <v>6</v>
      </c>
      <c r="D34" s="7">
        <v>728</v>
      </c>
      <c r="E34" s="3"/>
    </row>
    <row r="35" spans="1:5">
      <c r="A35" t="s">
        <v>0</v>
      </c>
      <c r="B35" t="s">
        <v>28</v>
      </c>
      <c r="C35" t="s">
        <v>6</v>
      </c>
      <c r="D35" s="7">
        <v>237</v>
      </c>
      <c r="E35" s="3"/>
    </row>
    <row r="36" spans="1:5">
      <c r="A36" t="s">
        <v>0</v>
      </c>
      <c r="B36" t="s">
        <v>27</v>
      </c>
      <c r="C36" t="s">
        <v>6</v>
      </c>
      <c r="D36" s="7">
        <v>231</v>
      </c>
      <c r="E36" s="3"/>
    </row>
    <row r="37" spans="1:5">
      <c r="A37" t="s">
        <v>0</v>
      </c>
      <c r="B37" t="s">
        <v>30</v>
      </c>
      <c r="C37" t="s">
        <v>6</v>
      </c>
      <c r="D37" s="7">
        <v>741</v>
      </c>
      <c r="E37" s="3"/>
    </row>
    <row r="38" spans="1:5">
      <c r="A38" t="s">
        <v>0</v>
      </c>
      <c r="B38" t="s">
        <v>29</v>
      </c>
      <c r="C38" t="s">
        <v>6</v>
      </c>
      <c r="D38" s="7">
        <v>898</v>
      </c>
      <c r="E38" s="3"/>
    </row>
    <row r="39" spans="1:5">
      <c r="A39" t="s">
        <v>0</v>
      </c>
      <c r="B39" t="s">
        <v>24</v>
      </c>
      <c r="C39" t="s">
        <v>6</v>
      </c>
      <c r="D39" s="7">
        <v>798</v>
      </c>
      <c r="E39" s="3"/>
    </row>
    <row r="40" spans="1:5">
      <c r="A40" t="s">
        <v>0</v>
      </c>
      <c r="B40" t="s">
        <v>31</v>
      </c>
      <c r="C40" t="s">
        <v>7</v>
      </c>
      <c r="D40" s="7">
        <v>476</v>
      </c>
      <c r="E40" s="3"/>
    </row>
    <row r="41" spans="1:5">
      <c r="A41" t="s">
        <v>0</v>
      </c>
      <c r="B41" t="s">
        <v>28</v>
      </c>
      <c r="C41" t="s">
        <v>7</v>
      </c>
      <c r="D41" s="7">
        <v>836</v>
      </c>
      <c r="E41" s="3"/>
    </row>
    <row r="42" spans="1:5">
      <c r="A42" t="s">
        <v>0</v>
      </c>
      <c r="B42" t="s">
        <v>27</v>
      </c>
      <c r="C42" t="s">
        <v>7</v>
      </c>
      <c r="D42" s="7">
        <v>395</v>
      </c>
      <c r="E42" s="3"/>
    </row>
    <row r="43" spans="1:5">
      <c r="A43" t="s">
        <v>0</v>
      </c>
      <c r="B43" t="s">
        <v>30</v>
      </c>
      <c r="C43" t="s">
        <v>7</v>
      </c>
      <c r="D43" s="7">
        <v>430</v>
      </c>
      <c r="E43" s="3"/>
    </row>
    <row r="44" spans="1:5">
      <c r="A44" t="s">
        <v>0</v>
      </c>
      <c r="B44" t="s">
        <v>29</v>
      </c>
      <c r="C44" t="s">
        <v>7</v>
      </c>
      <c r="D44" s="7">
        <v>745</v>
      </c>
      <c r="E44" s="3"/>
    </row>
    <row r="45" spans="1:5">
      <c r="A45" t="s">
        <v>0</v>
      </c>
      <c r="B45" t="s">
        <v>24</v>
      </c>
      <c r="C45" t="s">
        <v>7</v>
      </c>
      <c r="D45" s="7">
        <v>226</v>
      </c>
      <c r="E45" s="3"/>
    </row>
    <row r="46" spans="1:5">
      <c r="A46" t="s">
        <v>0</v>
      </c>
      <c r="B46" t="s">
        <v>31</v>
      </c>
      <c r="C46" t="s">
        <v>1</v>
      </c>
      <c r="D46" s="7">
        <v>484</v>
      </c>
      <c r="E46" s="3"/>
    </row>
    <row r="47" spans="1:5">
      <c r="A47" t="s">
        <v>0</v>
      </c>
      <c r="B47" t="s">
        <v>28</v>
      </c>
      <c r="C47" t="s">
        <v>1</v>
      </c>
      <c r="D47" s="7">
        <v>445</v>
      </c>
      <c r="E47" s="3"/>
    </row>
    <row r="48" spans="1:5">
      <c r="A48" t="s">
        <v>0</v>
      </c>
      <c r="B48" t="s">
        <v>27</v>
      </c>
      <c r="C48" t="s">
        <v>1</v>
      </c>
      <c r="D48" s="7">
        <v>260</v>
      </c>
      <c r="E48" s="3"/>
    </row>
    <row r="49" spans="1:5">
      <c r="A49" t="s">
        <v>0</v>
      </c>
      <c r="B49" t="s">
        <v>30</v>
      </c>
      <c r="C49" t="s">
        <v>1</v>
      </c>
      <c r="D49" s="7">
        <v>958</v>
      </c>
      <c r="E49" s="3"/>
    </row>
    <row r="50" spans="1:5">
      <c r="A50" t="s">
        <v>0</v>
      </c>
      <c r="B50" t="s">
        <v>29</v>
      </c>
      <c r="C50" t="s">
        <v>1</v>
      </c>
      <c r="D50" s="7">
        <v>825</v>
      </c>
      <c r="E50" s="3"/>
    </row>
    <row r="51" spans="1:5">
      <c r="A51" t="s">
        <v>0</v>
      </c>
      <c r="B51" t="s">
        <v>24</v>
      </c>
      <c r="C51" t="s">
        <v>1</v>
      </c>
      <c r="D51" s="7">
        <v>504</v>
      </c>
      <c r="E51" s="3"/>
    </row>
    <row r="52" spans="1:5">
      <c r="A52" t="s">
        <v>0</v>
      </c>
      <c r="B52" t="s">
        <v>31</v>
      </c>
      <c r="C52" t="s">
        <v>6</v>
      </c>
      <c r="D52" s="7">
        <v>739</v>
      </c>
      <c r="E52" s="3"/>
    </row>
    <row r="53" spans="1:5">
      <c r="A53" t="s">
        <v>0</v>
      </c>
      <c r="B53" t="s">
        <v>28</v>
      </c>
      <c r="C53" t="s">
        <v>6</v>
      </c>
      <c r="D53" s="7">
        <v>705</v>
      </c>
      <c r="E53" s="3"/>
    </row>
    <row r="54" spans="1:5">
      <c r="A54" t="s">
        <v>0</v>
      </c>
      <c r="B54" t="s">
        <v>27</v>
      </c>
      <c r="C54" t="s">
        <v>6</v>
      </c>
      <c r="D54" s="7">
        <v>688</v>
      </c>
      <c r="E54" s="3"/>
    </row>
    <row r="55" spans="1:5">
      <c r="A55" t="s">
        <v>0</v>
      </c>
      <c r="B55" t="s">
        <v>30</v>
      </c>
      <c r="C55" t="s">
        <v>6</v>
      </c>
      <c r="D55" s="7">
        <v>601</v>
      </c>
      <c r="E55" s="3"/>
    </row>
    <row r="56" spans="1:5">
      <c r="A56" t="s">
        <v>0</v>
      </c>
      <c r="B56" t="s">
        <v>29</v>
      </c>
      <c r="C56" t="s">
        <v>6</v>
      </c>
      <c r="D56" s="7">
        <v>889</v>
      </c>
      <c r="E56" s="3"/>
    </row>
    <row r="57" spans="1:5">
      <c r="A57" t="s">
        <v>0</v>
      </c>
      <c r="B57" t="s">
        <v>24</v>
      </c>
      <c r="C57" t="s">
        <v>6</v>
      </c>
      <c r="D57" s="7">
        <v>167</v>
      </c>
      <c r="E57" s="3"/>
    </row>
    <row r="58" spans="1:5">
      <c r="A58" t="s">
        <v>0</v>
      </c>
      <c r="B58" t="s">
        <v>31</v>
      </c>
      <c r="C58" t="s">
        <v>7</v>
      </c>
      <c r="D58" s="7">
        <v>657</v>
      </c>
      <c r="E58" s="3"/>
    </row>
    <row r="59" spans="1:5">
      <c r="A59" t="s">
        <v>0</v>
      </c>
      <c r="B59" t="s">
        <v>28</v>
      </c>
      <c r="C59" t="s">
        <v>7</v>
      </c>
      <c r="D59" s="7">
        <v>99</v>
      </c>
      <c r="E59" s="3"/>
    </row>
    <row r="60" spans="1:5">
      <c r="A60" t="s">
        <v>0</v>
      </c>
      <c r="B60" t="s">
        <v>27</v>
      </c>
      <c r="C60" t="s">
        <v>7</v>
      </c>
      <c r="D60" s="7">
        <v>407</v>
      </c>
      <c r="E60" s="3"/>
    </row>
    <row r="61" spans="1:5">
      <c r="A61" t="s">
        <v>0</v>
      </c>
      <c r="B61" t="s">
        <v>30</v>
      </c>
      <c r="C61" t="s">
        <v>7</v>
      </c>
      <c r="D61" s="7">
        <v>594</v>
      </c>
      <c r="E61" s="3"/>
    </row>
    <row r="62" spans="1:5">
      <c r="A62" t="s">
        <v>0</v>
      </c>
      <c r="B62" t="s">
        <v>29</v>
      </c>
      <c r="C62" t="s">
        <v>7</v>
      </c>
      <c r="D62" s="7">
        <v>921</v>
      </c>
      <c r="E62" s="3"/>
    </row>
    <row r="63" spans="1:5">
      <c r="A63" t="s">
        <v>0</v>
      </c>
      <c r="B63" t="s">
        <v>24</v>
      </c>
      <c r="C63" t="s">
        <v>7</v>
      </c>
      <c r="D63" s="7">
        <v>875</v>
      </c>
      <c r="E63" s="3"/>
    </row>
    <row r="64" spans="1:5">
      <c r="A64" t="s">
        <v>0</v>
      </c>
      <c r="B64" t="s">
        <v>31</v>
      </c>
      <c r="C64" t="s">
        <v>1</v>
      </c>
      <c r="D64" s="7">
        <v>637</v>
      </c>
      <c r="E64" s="3"/>
    </row>
    <row r="65" spans="1:5">
      <c r="A65" t="s">
        <v>0</v>
      </c>
      <c r="B65" t="s">
        <v>28</v>
      </c>
      <c r="C65" t="s">
        <v>1</v>
      </c>
      <c r="D65" s="7">
        <v>948</v>
      </c>
      <c r="E65" s="3"/>
    </row>
    <row r="66" spans="1:5">
      <c r="A66" t="s">
        <v>0</v>
      </c>
      <c r="B66" t="s">
        <v>27</v>
      </c>
      <c r="C66" t="s">
        <v>1</v>
      </c>
      <c r="D66" s="7">
        <v>671</v>
      </c>
      <c r="E66" s="3"/>
    </row>
    <row r="67" spans="1:5">
      <c r="A67" t="s">
        <v>0</v>
      </c>
      <c r="B67" t="s">
        <v>30</v>
      </c>
      <c r="C67" t="s">
        <v>1</v>
      </c>
      <c r="D67" s="7">
        <v>478</v>
      </c>
      <c r="E67" s="3"/>
    </row>
    <row r="68" spans="1:5">
      <c r="A68" t="s">
        <v>0</v>
      </c>
      <c r="B68" t="s">
        <v>29</v>
      </c>
      <c r="C68" t="s">
        <v>1</v>
      </c>
      <c r="D68" s="7">
        <v>321</v>
      </c>
      <c r="E68" s="3"/>
    </row>
    <row r="69" spans="1:5">
      <c r="A69" t="s">
        <v>0</v>
      </c>
      <c r="B69" t="s">
        <v>24</v>
      </c>
      <c r="C69" t="s">
        <v>1</v>
      </c>
      <c r="D69" s="7">
        <v>956</v>
      </c>
      <c r="E69" s="3"/>
    </row>
    <row r="70" spans="1:5">
      <c r="A70" t="s">
        <v>0</v>
      </c>
      <c r="B70" t="s">
        <v>31</v>
      </c>
      <c r="C70" t="s">
        <v>6</v>
      </c>
      <c r="D70" s="7">
        <v>899</v>
      </c>
      <c r="E70" s="3"/>
    </row>
    <row r="71" spans="1:5">
      <c r="A71" t="s">
        <v>0</v>
      </c>
      <c r="B71" t="s">
        <v>28</v>
      </c>
      <c r="C71" t="s">
        <v>6</v>
      </c>
      <c r="D71" s="7">
        <v>263</v>
      </c>
      <c r="E71" s="3"/>
    </row>
    <row r="72" spans="1:5">
      <c r="A72" t="s">
        <v>0</v>
      </c>
      <c r="B72" t="s">
        <v>27</v>
      </c>
      <c r="C72" t="s">
        <v>6</v>
      </c>
      <c r="D72" s="7">
        <v>595</v>
      </c>
      <c r="E72" s="3"/>
    </row>
    <row r="73" spans="1:5">
      <c r="A73" t="s">
        <v>0</v>
      </c>
      <c r="B73" t="s">
        <v>30</v>
      </c>
      <c r="C73" t="s">
        <v>6</v>
      </c>
      <c r="D73" s="7">
        <v>569</v>
      </c>
      <c r="E73" s="3"/>
    </row>
    <row r="74" spans="1:5">
      <c r="A74" t="s">
        <v>0</v>
      </c>
      <c r="B74" t="s">
        <v>29</v>
      </c>
      <c r="C74" t="s">
        <v>6</v>
      </c>
      <c r="D74" s="7">
        <v>464</v>
      </c>
      <c r="E74" s="3"/>
    </row>
    <row r="75" spans="1:5">
      <c r="A75" t="s">
        <v>0</v>
      </c>
      <c r="B75" t="s">
        <v>24</v>
      </c>
      <c r="C75" t="s">
        <v>6</v>
      </c>
      <c r="D75" s="7">
        <v>584</v>
      </c>
      <c r="E75" s="3"/>
    </row>
    <row r="76" spans="1:5">
      <c r="A76" t="s">
        <v>0</v>
      </c>
      <c r="B76" t="s">
        <v>31</v>
      </c>
      <c r="C76" t="s">
        <v>7</v>
      </c>
      <c r="D76" s="7">
        <v>806</v>
      </c>
      <c r="E76" s="3"/>
    </row>
    <row r="77" spans="1:5">
      <c r="A77" t="s">
        <v>0</v>
      </c>
      <c r="B77" t="s">
        <v>28</v>
      </c>
      <c r="C77" t="s">
        <v>7</v>
      </c>
      <c r="D77" s="7">
        <v>419</v>
      </c>
      <c r="E77" s="3"/>
    </row>
    <row r="78" spans="1:5">
      <c r="A78" t="s">
        <v>0</v>
      </c>
      <c r="B78" t="s">
        <v>27</v>
      </c>
      <c r="C78" t="s">
        <v>7</v>
      </c>
      <c r="D78" s="7">
        <v>160</v>
      </c>
      <c r="E78" s="3"/>
    </row>
    <row r="79" spans="1:5">
      <c r="A79" t="s">
        <v>0</v>
      </c>
      <c r="B79" t="s">
        <v>30</v>
      </c>
      <c r="C79" t="s">
        <v>7</v>
      </c>
      <c r="D79" s="7">
        <v>957</v>
      </c>
      <c r="E79" s="3"/>
    </row>
    <row r="80" spans="1:5">
      <c r="A80" t="s">
        <v>0</v>
      </c>
      <c r="B80" t="s">
        <v>29</v>
      </c>
      <c r="C80" t="s">
        <v>7</v>
      </c>
      <c r="D80" s="7">
        <v>887</v>
      </c>
      <c r="E80" s="3"/>
    </row>
    <row r="81" spans="1:5">
      <c r="A81" t="s">
        <v>0</v>
      </c>
      <c r="B81" t="s">
        <v>24</v>
      </c>
      <c r="C81" t="s">
        <v>7</v>
      </c>
      <c r="D81" s="7">
        <v>938</v>
      </c>
      <c r="E81" s="3"/>
    </row>
    <row r="82" spans="1:5">
      <c r="A82" t="s">
        <v>0</v>
      </c>
      <c r="B82" t="s">
        <v>31</v>
      </c>
      <c r="C82" t="s">
        <v>1</v>
      </c>
      <c r="D82" s="7">
        <v>457</v>
      </c>
      <c r="E82" s="3"/>
    </row>
    <row r="83" spans="1:5">
      <c r="A83" t="s">
        <v>0</v>
      </c>
      <c r="B83" t="s">
        <v>28</v>
      </c>
      <c r="C83" t="s">
        <v>1</v>
      </c>
      <c r="D83" s="7">
        <v>668</v>
      </c>
      <c r="E83" s="3"/>
    </row>
    <row r="84" spans="1:5">
      <c r="A84" t="s">
        <v>0</v>
      </c>
      <c r="B84" t="s">
        <v>27</v>
      </c>
      <c r="C84" t="s">
        <v>1</v>
      </c>
      <c r="D84" s="7">
        <v>754</v>
      </c>
      <c r="E84" s="3"/>
    </row>
    <row r="85" spans="1:5">
      <c r="A85" t="s">
        <v>0</v>
      </c>
      <c r="B85" t="s">
        <v>30</v>
      </c>
      <c r="C85" t="s">
        <v>1</v>
      </c>
      <c r="D85" s="7">
        <v>368</v>
      </c>
      <c r="E85" s="3"/>
    </row>
    <row r="86" spans="1:5">
      <c r="A86" t="s">
        <v>0</v>
      </c>
      <c r="B86" t="s">
        <v>29</v>
      </c>
      <c r="C86" t="s">
        <v>1</v>
      </c>
      <c r="D86" s="7">
        <v>731</v>
      </c>
      <c r="E86" s="3"/>
    </row>
    <row r="87" spans="1:5">
      <c r="A87" t="s">
        <v>0</v>
      </c>
      <c r="B87" t="s">
        <v>24</v>
      </c>
      <c r="C87" t="s">
        <v>1</v>
      </c>
      <c r="D87" s="7">
        <v>857</v>
      </c>
      <c r="E87" s="3"/>
    </row>
    <row r="88" spans="1:5">
      <c r="A88" t="s">
        <v>0</v>
      </c>
      <c r="B88" t="s">
        <v>31</v>
      </c>
      <c r="C88" t="s">
        <v>6</v>
      </c>
      <c r="D88" s="7">
        <v>523</v>
      </c>
      <c r="E88" s="3"/>
    </row>
    <row r="89" spans="1:5">
      <c r="A89" t="s">
        <v>0</v>
      </c>
      <c r="B89" t="s">
        <v>28</v>
      </c>
      <c r="C89" t="s">
        <v>6</v>
      </c>
      <c r="D89" s="7">
        <v>175</v>
      </c>
      <c r="E89" s="3"/>
    </row>
    <row r="90" spans="1:5">
      <c r="A90" t="s">
        <v>0</v>
      </c>
      <c r="B90" t="s">
        <v>27</v>
      </c>
      <c r="C90" t="s">
        <v>6</v>
      </c>
      <c r="D90" s="7">
        <v>617</v>
      </c>
      <c r="E90" s="3"/>
    </row>
    <row r="91" spans="1:5">
      <c r="A91" t="s">
        <v>0</v>
      </c>
      <c r="B91" t="s">
        <v>30</v>
      </c>
      <c r="C91" t="s">
        <v>6</v>
      </c>
      <c r="D91" s="7">
        <v>950</v>
      </c>
      <c r="E91" s="3"/>
    </row>
    <row r="92" spans="1:5">
      <c r="A92" t="s">
        <v>0</v>
      </c>
      <c r="B92" t="s">
        <v>29</v>
      </c>
      <c r="C92" t="s">
        <v>6</v>
      </c>
      <c r="D92" s="7">
        <v>745</v>
      </c>
      <c r="E92" s="3"/>
    </row>
    <row r="93" spans="1:5">
      <c r="A93" t="s">
        <v>0</v>
      </c>
      <c r="B93" t="s">
        <v>24</v>
      </c>
      <c r="C93" t="s">
        <v>6</v>
      </c>
      <c r="D93" s="7">
        <v>232</v>
      </c>
      <c r="E93" s="3"/>
    </row>
    <row r="94" spans="1:5">
      <c r="A94" t="s">
        <v>0</v>
      </c>
      <c r="B94" t="s">
        <v>31</v>
      </c>
      <c r="C94" t="s">
        <v>7</v>
      </c>
      <c r="D94" s="7">
        <v>950</v>
      </c>
      <c r="E94" s="3"/>
    </row>
    <row r="95" spans="1:5">
      <c r="A95" t="s">
        <v>0</v>
      </c>
      <c r="B95" t="s">
        <v>28</v>
      </c>
      <c r="C95" t="s">
        <v>7</v>
      </c>
      <c r="D95" s="7">
        <v>287</v>
      </c>
      <c r="E95" s="3"/>
    </row>
    <row r="96" spans="1:5">
      <c r="A96" t="s">
        <v>0</v>
      </c>
      <c r="B96" t="s">
        <v>27</v>
      </c>
      <c r="C96" t="s">
        <v>7</v>
      </c>
      <c r="D96" s="7">
        <v>371</v>
      </c>
      <c r="E96" s="3"/>
    </row>
    <row r="97" spans="1:5">
      <c r="A97" t="s">
        <v>0</v>
      </c>
      <c r="B97" t="s">
        <v>30</v>
      </c>
      <c r="C97" t="s">
        <v>7</v>
      </c>
      <c r="D97" s="7">
        <v>835</v>
      </c>
      <c r="E97" s="3"/>
    </row>
    <row r="98" spans="1:5">
      <c r="A98" t="s">
        <v>0</v>
      </c>
      <c r="B98" t="s">
        <v>29</v>
      </c>
      <c r="C98" t="s">
        <v>7</v>
      </c>
      <c r="D98" s="7">
        <v>527</v>
      </c>
      <c r="E98" s="3"/>
    </row>
    <row r="99" spans="1:5">
      <c r="A99" t="s">
        <v>0</v>
      </c>
      <c r="B99" t="s">
        <v>24</v>
      </c>
      <c r="C99" t="s">
        <v>7</v>
      </c>
      <c r="D99" s="7">
        <v>832</v>
      </c>
      <c r="E99" s="3"/>
    </row>
    <row r="100" spans="1:5">
      <c r="A100" t="s">
        <v>0</v>
      </c>
      <c r="B100" t="s">
        <v>31</v>
      </c>
      <c r="C100" t="s">
        <v>1</v>
      </c>
      <c r="D100" s="7">
        <v>294</v>
      </c>
      <c r="E100" s="3"/>
    </row>
    <row r="101" spans="1:5">
      <c r="A101" t="s">
        <v>0</v>
      </c>
      <c r="B101" t="s">
        <v>28</v>
      </c>
      <c r="C101" t="s">
        <v>1</v>
      </c>
      <c r="D101" s="7">
        <v>307</v>
      </c>
      <c r="E101" s="3"/>
    </row>
    <row r="102" spans="1:5">
      <c r="A102" t="s">
        <v>0</v>
      </c>
      <c r="B102" t="s">
        <v>27</v>
      </c>
      <c r="C102" t="s">
        <v>1</v>
      </c>
      <c r="D102" s="7">
        <v>770</v>
      </c>
      <c r="E102" s="3"/>
    </row>
    <row r="103" spans="1:5">
      <c r="A103" t="s">
        <v>0</v>
      </c>
      <c r="B103" t="s">
        <v>30</v>
      </c>
      <c r="C103" t="s">
        <v>1</v>
      </c>
      <c r="D103" s="7">
        <v>906</v>
      </c>
      <c r="E103" s="3"/>
    </row>
    <row r="104" spans="1:5">
      <c r="A104" t="s">
        <v>0</v>
      </c>
      <c r="B104" t="s">
        <v>29</v>
      </c>
      <c r="C104" t="s">
        <v>1</v>
      </c>
      <c r="D104" s="7">
        <v>596</v>
      </c>
      <c r="E104" s="3"/>
    </row>
    <row r="105" spans="1:5">
      <c r="A105" t="s">
        <v>0</v>
      </c>
      <c r="B105" t="s">
        <v>24</v>
      </c>
      <c r="C105" t="s">
        <v>1</v>
      </c>
      <c r="D105" s="7">
        <v>782</v>
      </c>
      <c r="E105" s="3"/>
    </row>
    <row r="106" spans="1:5">
      <c r="A106" t="s">
        <v>0</v>
      </c>
      <c r="B106" t="s">
        <v>31</v>
      </c>
      <c r="C106" t="s">
        <v>6</v>
      </c>
      <c r="D106" s="7">
        <v>967</v>
      </c>
      <c r="E106" s="3"/>
    </row>
    <row r="107" spans="1:5">
      <c r="A107" t="s">
        <v>0</v>
      </c>
      <c r="B107" t="s">
        <v>28</v>
      </c>
      <c r="C107" t="s">
        <v>6</v>
      </c>
      <c r="D107" s="7">
        <v>756</v>
      </c>
      <c r="E107" s="3"/>
    </row>
    <row r="108" spans="1:5">
      <c r="A108" t="s">
        <v>0</v>
      </c>
      <c r="B108" t="s">
        <v>27</v>
      </c>
      <c r="C108" t="s">
        <v>6</v>
      </c>
      <c r="D108" s="7">
        <v>874</v>
      </c>
      <c r="E108" s="3"/>
    </row>
    <row r="109" spans="1:5">
      <c r="A109" t="s">
        <v>0</v>
      </c>
      <c r="B109" t="s">
        <v>30</v>
      </c>
      <c r="C109" t="s">
        <v>6</v>
      </c>
      <c r="D109" s="7">
        <v>643</v>
      </c>
      <c r="E109" s="3"/>
    </row>
    <row r="110" spans="1:5">
      <c r="A110" t="s">
        <v>0</v>
      </c>
      <c r="B110" t="s">
        <v>29</v>
      </c>
      <c r="C110" t="s">
        <v>6</v>
      </c>
      <c r="D110" s="7">
        <v>533</v>
      </c>
      <c r="E110" s="3"/>
    </row>
    <row r="111" spans="1:5">
      <c r="A111" t="s">
        <v>0</v>
      </c>
      <c r="B111" t="s">
        <v>24</v>
      </c>
      <c r="C111" t="s">
        <v>6</v>
      </c>
      <c r="D111" s="7">
        <v>276</v>
      </c>
      <c r="E111" s="3"/>
    </row>
    <row r="112" spans="1:5">
      <c r="A112" t="s">
        <v>0</v>
      </c>
      <c r="B112" t="s">
        <v>31</v>
      </c>
      <c r="C112" t="s">
        <v>7</v>
      </c>
      <c r="D112" s="7">
        <v>116</v>
      </c>
      <c r="E112" s="3"/>
    </row>
    <row r="113" spans="1:5">
      <c r="A113" t="s">
        <v>0</v>
      </c>
      <c r="B113" t="s">
        <v>28</v>
      </c>
      <c r="C113" t="s">
        <v>7</v>
      </c>
      <c r="D113" s="7">
        <v>204</v>
      </c>
      <c r="E113" s="3"/>
    </row>
    <row r="114" spans="1:5">
      <c r="A114" t="s">
        <v>0</v>
      </c>
      <c r="B114" t="s">
        <v>27</v>
      </c>
      <c r="C114" t="s">
        <v>7</v>
      </c>
      <c r="D114" s="7">
        <v>626</v>
      </c>
      <c r="E114" s="3"/>
    </row>
    <row r="115" spans="1:5">
      <c r="A115" t="s">
        <v>0</v>
      </c>
      <c r="B115" t="s">
        <v>30</v>
      </c>
      <c r="C115" t="s">
        <v>7</v>
      </c>
      <c r="D115" s="7">
        <v>777</v>
      </c>
      <c r="E115" s="3"/>
    </row>
    <row r="116" spans="1:5">
      <c r="A116" t="s">
        <v>0</v>
      </c>
      <c r="B116" t="s">
        <v>29</v>
      </c>
      <c r="C116" t="s">
        <v>7</v>
      </c>
      <c r="D116" s="7">
        <v>657</v>
      </c>
      <c r="E116" s="3"/>
    </row>
    <row r="117" spans="1:5">
      <c r="A117" t="s">
        <v>0</v>
      </c>
      <c r="B117" t="s">
        <v>24</v>
      </c>
      <c r="C117" t="s">
        <v>7</v>
      </c>
      <c r="D117" s="7">
        <v>384</v>
      </c>
      <c r="E117" s="3"/>
    </row>
    <row r="118" spans="1:5">
      <c r="A118" t="s">
        <v>11</v>
      </c>
      <c r="B118" t="s">
        <v>31</v>
      </c>
      <c r="C118" t="s">
        <v>1</v>
      </c>
      <c r="D118" s="7">
        <v>624</v>
      </c>
      <c r="E118" s="3"/>
    </row>
    <row r="119" spans="1:5">
      <c r="A119" t="s">
        <v>11</v>
      </c>
      <c r="B119" t="s">
        <v>28</v>
      </c>
      <c r="C119" t="s">
        <v>1</v>
      </c>
      <c r="D119" s="7">
        <v>175</v>
      </c>
      <c r="E119" s="3"/>
    </row>
    <row r="120" spans="1:5">
      <c r="A120" t="s">
        <v>11</v>
      </c>
      <c r="B120" t="s">
        <v>27</v>
      </c>
      <c r="C120" t="s">
        <v>1</v>
      </c>
      <c r="D120" s="7">
        <v>224</v>
      </c>
      <c r="E120" s="3"/>
    </row>
    <row r="121" spans="1:5">
      <c r="A121" t="s">
        <v>11</v>
      </c>
      <c r="B121" t="s">
        <v>30</v>
      </c>
      <c r="C121" t="s">
        <v>1</v>
      </c>
      <c r="D121" s="7">
        <v>962</v>
      </c>
      <c r="E121" s="3"/>
    </row>
    <row r="122" spans="1:5">
      <c r="A122" t="s">
        <v>11</v>
      </c>
      <c r="B122" t="s">
        <v>29</v>
      </c>
      <c r="C122" t="s">
        <v>1</v>
      </c>
      <c r="D122" s="7">
        <v>366</v>
      </c>
      <c r="E122" s="3"/>
    </row>
    <row r="123" spans="1:5">
      <c r="A123" t="s">
        <v>11</v>
      </c>
      <c r="B123" t="s">
        <v>24</v>
      </c>
      <c r="C123" t="s">
        <v>1</v>
      </c>
      <c r="D123" s="7">
        <v>948</v>
      </c>
      <c r="E123" s="3"/>
    </row>
    <row r="124" spans="1:5">
      <c r="A124" t="s">
        <v>11</v>
      </c>
      <c r="B124" t="s">
        <v>31</v>
      </c>
      <c r="C124" t="s">
        <v>6</v>
      </c>
      <c r="D124" s="7">
        <v>560</v>
      </c>
      <c r="E124" s="3"/>
    </row>
    <row r="125" spans="1:5">
      <c r="A125" t="s">
        <v>11</v>
      </c>
      <c r="B125" t="s">
        <v>28</v>
      </c>
      <c r="C125" t="s">
        <v>6</v>
      </c>
      <c r="D125" s="7">
        <v>395</v>
      </c>
      <c r="E125" s="3"/>
    </row>
    <row r="126" spans="1:5">
      <c r="A126" t="s">
        <v>11</v>
      </c>
      <c r="B126" t="s">
        <v>27</v>
      </c>
      <c r="C126" t="s">
        <v>6</v>
      </c>
      <c r="D126" s="7">
        <v>891</v>
      </c>
      <c r="E126" s="3"/>
    </row>
    <row r="127" spans="1:5">
      <c r="A127" t="s">
        <v>11</v>
      </c>
      <c r="B127" t="s">
        <v>30</v>
      </c>
      <c r="C127" t="s">
        <v>6</v>
      </c>
      <c r="D127" s="7">
        <v>760</v>
      </c>
      <c r="E127" s="3"/>
    </row>
    <row r="128" spans="1:5">
      <c r="A128" t="s">
        <v>11</v>
      </c>
      <c r="B128" t="s">
        <v>29</v>
      </c>
      <c r="C128" t="s">
        <v>6</v>
      </c>
      <c r="D128" s="7">
        <v>931</v>
      </c>
      <c r="E128" s="3"/>
    </row>
    <row r="129" spans="1:5">
      <c r="A129" t="s">
        <v>11</v>
      </c>
      <c r="B129" t="s">
        <v>24</v>
      </c>
      <c r="C129" t="s">
        <v>6</v>
      </c>
      <c r="D129" s="7">
        <v>707</v>
      </c>
      <c r="E129" s="3"/>
    </row>
    <row r="130" spans="1:5">
      <c r="A130" t="s">
        <v>11</v>
      </c>
      <c r="B130" t="s">
        <v>31</v>
      </c>
      <c r="C130" t="s">
        <v>7</v>
      </c>
      <c r="D130" s="7">
        <v>704</v>
      </c>
      <c r="E130" s="3"/>
    </row>
    <row r="131" spans="1:5">
      <c r="A131" t="s">
        <v>11</v>
      </c>
      <c r="B131" t="s">
        <v>28</v>
      </c>
      <c r="C131" t="s">
        <v>7</v>
      </c>
      <c r="D131" s="7">
        <v>643</v>
      </c>
      <c r="E131" s="3"/>
    </row>
    <row r="132" spans="1:5">
      <c r="A132" t="s">
        <v>11</v>
      </c>
      <c r="B132" t="s">
        <v>27</v>
      </c>
      <c r="C132" t="s">
        <v>7</v>
      </c>
      <c r="D132" s="7">
        <v>461</v>
      </c>
      <c r="E132" s="3"/>
    </row>
    <row r="133" spans="1:5">
      <c r="A133" t="s">
        <v>11</v>
      </c>
      <c r="B133" t="s">
        <v>30</v>
      </c>
      <c r="C133" t="s">
        <v>7</v>
      </c>
      <c r="D133" s="7">
        <v>241</v>
      </c>
      <c r="E133" s="3"/>
    </row>
    <row r="134" spans="1:5">
      <c r="A134" t="s">
        <v>11</v>
      </c>
      <c r="B134" t="s">
        <v>29</v>
      </c>
      <c r="C134" t="s">
        <v>7</v>
      </c>
      <c r="D134" s="7">
        <v>863</v>
      </c>
      <c r="E134" s="3"/>
    </row>
    <row r="135" spans="1:5">
      <c r="A135" t="s">
        <v>11</v>
      </c>
      <c r="B135" t="s">
        <v>24</v>
      </c>
      <c r="C135" t="s">
        <v>7</v>
      </c>
      <c r="D135" s="7">
        <v>400</v>
      </c>
      <c r="E135" s="3"/>
    </row>
    <row r="136" spans="1:5">
      <c r="A136" t="s">
        <v>12</v>
      </c>
      <c r="B136" t="s">
        <v>31</v>
      </c>
      <c r="C136" t="s">
        <v>1</v>
      </c>
      <c r="D136" s="7">
        <v>292</v>
      </c>
      <c r="E136" s="3"/>
    </row>
    <row r="137" spans="1:5">
      <c r="A137" t="s">
        <v>12</v>
      </c>
      <c r="B137" t="s">
        <v>28</v>
      </c>
      <c r="C137" t="s">
        <v>1</v>
      </c>
      <c r="D137" s="7">
        <v>650</v>
      </c>
      <c r="E137" s="3"/>
    </row>
    <row r="138" spans="1:5">
      <c r="A138" t="s">
        <v>12</v>
      </c>
      <c r="B138" t="s">
        <v>27</v>
      </c>
      <c r="C138" t="s">
        <v>1</v>
      </c>
      <c r="D138" s="7">
        <v>106</v>
      </c>
      <c r="E138" s="3"/>
    </row>
    <row r="139" spans="1:5">
      <c r="A139" t="s">
        <v>12</v>
      </c>
      <c r="B139" t="s">
        <v>30</v>
      </c>
      <c r="C139" t="s">
        <v>1</v>
      </c>
      <c r="D139" s="7">
        <v>931</v>
      </c>
      <c r="E139" s="3"/>
    </row>
    <row r="140" spans="1:5">
      <c r="A140" t="s">
        <v>12</v>
      </c>
      <c r="B140" t="s">
        <v>29</v>
      </c>
      <c r="C140" t="s">
        <v>1</v>
      </c>
      <c r="D140" s="7">
        <v>721</v>
      </c>
      <c r="E140" s="3"/>
    </row>
    <row r="141" spans="1:5">
      <c r="A141" t="s">
        <v>12</v>
      </c>
      <c r="B141" t="s">
        <v>24</v>
      </c>
      <c r="C141" t="s">
        <v>1</v>
      </c>
      <c r="D141" s="7">
        <v>352</v>
      </c>
      <c r="E141" s="3"/>
    </row>
    <row r="142" spans="1:5">
      <c r="A142" t="s">
        <v>12</v>
      </c>
      <c r="B142" t="s">
        <v>31</v>
      </c>
      <c r="C142" t="s">
        <v>6</v>
      </c>
      <c r="D142" s="7">
        <v>983</v>
      </c>
      <c r="E142" s="3"/>
    </row>
    <row r="143" spans="1:5">
      <c r="A143" t="s">
        <v>12</v>
      </c>
      <c r="B143" t="s">
        <v>28</v>
      </c>
      <c r="C143" t="s">
        <v>6</v>
      </c>
      <c r="D143" s="7">
        <v>777</v>
      </c>
      <c r="E143" s="3"/>
    </row>
    <row r="144" spans="1:5">
      <c r="A144" t="s">
        <v>12</v>
      </c>
      <c r="B144" t="s">
        <v>27</v>
      </c>
      <c r="C144" t="s">
        <v>6</v>
      </c>
      <c r="D144" s="7">
        <v>343</v>
      </c>
      <c r="E144" s="3"/>
    </row>
    <row r="145" spans="1:5">
      <c r="A145" t="s">
        <v>12</v>
      </c>
      <c r="B145" t="s">
        <v>30</v>
      </c>
      <c r="C145" t="s">
        <v>6</v>
      </c>
      <c r="D145" s="7">
        <v>914</v>
      </c>
      <c r="E145" s="3"/>
    </row>
    <row r="146" spans="1:5">
      <c r="A146" t="s">
        <v>12</v>
      </c>
      <c r="B146" t="s">
        <v>29</v>
      </c>
      <c r="C146" t="s">
        <v>6</v>
      </c>
      <c r="D146" s="7">
        <v>283</v>
      </c>
      <c r="E146" s="3"/>
    </row>
    <row r="147" spans="1:5">
      <c r="A147" t="s">
        <v>12</v>
      </c>
      <c r="B147" t="s">
        <v>24</v>
      </c>
      <c r="C147" t="s">
        <v>6</v>
      </c>
      <c r="D147" s="7">
        <v>358</v>
      </c>
      <c r="E147" s="3"/>
    </row>
    <row r="148" spans="1:5">
      <c r="A148" t="s">
        <v>12</v>
      </c>
      <c r="B148" t="s">
        <v>31</v>
      </c>
      <c r="C148" t="s">
        <v>7</v>
      </c>
      <c r="D148" s="7">
        <v>945</v>
      </c>
      <c r="E148" s="3"/>
    </row>
    <row r="149" spans="1:5">
      <c r="A149" t="s">
        <v>12</v>
      </c>
      <c r="B149" t="s">
        <v>28</v>
      </c>
      <c r="C149" t="s">
        <v>7</v>
      </c>
      <c r="D149" s="7">
        <v>126</v>
      </c>
      <c r="E149" s="3"/>
    </row>
    <row r="150" spans="1:5">
      <c r="A150" t="s">
        <v>12</v>
      </c>
      <c r="B150" t="s">
        <v>27</v>
      </c>
      <c r="C150" t="s">
        <v>7</v>
      </c>
      <c r="D150" s="7">
        <v>951</v>
      </c>
      <c r="E150" s="3"/>
    </row>
    <row r="151" spans="1:5">
      <c r="A151" t="s">
        <v>12</v>
      </c>
      <c r="B151" t="s">
        <v>30</v>
      </c>
      <c r="C151" t="s">
        <v>7</v>
      </c>
      <c r="D151" s="7">
        <v>208</v>
      </c>
      <c r="E151" s="3"/>
    </row>
    <row r="152" spans="1:5">
      <c r="A152" t="s">
        <v>12</v>
      </c>
      <c r="B152" t="s">
        <v>29</v>
      </c>
      <c r="C152" t="s">
        <v>7</v>
      </c>
      <c r="D152" s="7">
        <v>755</v>
      </c>
      <c r="E152" s="3"/>
    </row>
    <row r="153" spans="1:5">
      <c r="A153" t="s">
        <v>12</v>
      </c>
      <c r="B153" t="s">
        <v>24</v>
      </c>
      <c r="C153" t="s">
        <v>7</v>
      </c>
      <c r="D153" s="7">
        <v>567</v>
      </c>
      <c r="E153" s="3"/>
    </row>
    <row r="154" spans="1:5">
      <c r="A154" t="s">
        <v>13</v>
      </c>
      <c r="B154" t="s">
        <v>31</v>
      </c>
      <c r="C154" t="s">
        <v>1</v>
      </c>
      <c r="D154" s="7">
        <v>694</v>
      </c>
      <c r="E154" s="3"/>
    </row>
    <row r="155" spans="1:5">
      <c r="A155" t="s">
        <v>13</v>
      </c>
      <c r="B155" t="s">
        <v>28</v>
      </c>
      <c r="C155" t="s">
        <v>1</v>
      </c>
      <c r="D155" s="7">
        <v>758</v>
      </c>
      <c r="E155" s="3"/>
    </row>
    <row r="156" spans="1:5">
      <c r="A156" t="s">
        <v>13</v>
      </c>
      <c r="B156" t="s">
        <v>27</v>
      </c>
      <c r="C156" t="s">
        <v>1</v>
      </c>
      <c r="D156" s="7">
        <v>945</v>
      </c>
      <c r="E156" s="3"/>
    </row>
    <row r="157" spans="1:5">
      <c r="A157" t="s">
        <v>13</v>
      </c>
      <c r="B157" t="s">
        <v>30</v>
      </c>
      <c r="C157" t="s">
        <v>1</v>
      </c>
      <c r="D157" s="7">
        <v>866</v>
      </c>
      <c r="E157" s="3"/>
    </row>
    <row r="158" spans="1:5">
      <c r="A158" t="s">
        <v>13</v>
      </c>
      <c r="B158" t="s">
        <v>29</v>
      </c>
      <c r="C158" t="s">
        <v>1</v>
      </c>
      <c r="D158" s="7">
        <v>703</v>
      </c>
      <c r="E158" s="3"/>
    </row>
    <row r="159" spans="1:5">
      <c r="A159" t="s">
        <v>13</v>
      </c>
      <c r="B159" t="s">
        <v>24</v>
      </c>
      <c r="C159" t="s">
        <v>1</v>
      </c>
      <c r="D159" s="7">
        <v>308</v>
      </c>
      <c r="E159" s="3"/>
    </row>
    <row r="160" spans="1:5">
      <c r="A160" t="s">
        <v>13</v>
      </c>
      <c r="B160" t="s">
        <v>31</v>
      </c>
      <c r="C160" t="s">
        <v>6</v>
      </c>
      <c r="D160" s="7">
        <v>178</v>
      </c>
      <c r="E160" s="3"/>
    </row>
    <row r="161" spans="1:5">
      <c r="A161" t="s">
        <v>13</v>
      </c>
      <c r="B161" t="s">
        <v>28</v>
      </c>
      <c r="C161" t="s">
        <v>6</v>
      </c>
      <c r="D161" s="7">
        <v>263</v>
      </c>
      <c r="E161" s="3"/>
    </row>
    <row r="162" spans="1:5">
      <c r="A162" t="s">
        <v>13</v>
      </c>
      <c r="B162" t="s">
        <v>27</v>
      </c>
      <c r="C162" t="s">
        <v>6</v>
      </c>
      <c r="D162" s="7">
        <v>131</v>
      </c>
      <c r="E162" s="3"/>
    </row>
    <row r="163" spans="1:5">
      <c r="A163" t="s">
        <v>13</v>
      </c>
      <c r="B163" t="s">
        <v>30</v>
      </c>
      <c r="C163" t="s">
        <v>6</v>
      </c>
      <c r="D163" s="7">
        <v>246</v>
      </c>
      <c r="E163" s="3"/>
    </row>
    <row r="164" spans="1:5">
      <c r="A164" t="s">
        <v>13</v>
      </c>
      <c r="B164" t="s">
        <v>29</v>
      </c>
      <c r="C164" t="s">
        <v>6</v>
      </c>
      <c r="D164" s="7">
        <v>641</v>
      </c>
      <c r="E164" s="3"/>
    </row>
    <row r="165" spans="1:5">
      <c r="A165" t="s">
        <v>13</v>
      </c>
      <c r="B165" t="s">
        <v>24</v>
      </c>
      <c r="C165" t="s">
        <v>6</v>
      </c>
      <c r="D165" s="7">
        <v>240</v>
      </c>
      <c r="E165" s="3"/>
    </row>
    <row r="166" spans="1:5">
      <c r="A166" t="s">
        <v>13</v>
      </c>
      <c r="B166" t="s">
        <v>31</v>
      </c>
      <c r="C166" t="s">
        <v>7</v>
      </c>
      <c r="D166" s="7">
        <v>253</v>
      </c>
      <c r="E166" s="3"/>
    </row>
    <row r="167" spans="1:5">
      <c r="A167" t="s">
        <v>13</v>
      </c>
      <c r="B167" t="s">
        <v>28</v>
      </c>
      <c r="C167" t="s">
        <v>7</v>
      </c>
      <c r="D167" s="7">
        <v>898</v>
      </c>
      <c r="E167" s="3"/>
    </row>
    <row r="168" spans="1:5">
      <c r="A168" t="s">
        <v>13</v>
      </c>
      <c r="B168" t="s">
        <v>27</v>
      </c>
      <c r="C168" t="s">
        <v>7</v>
      </c>
      <c r="D168" s="7">
        <v>783</v>
      </c>
      <c r="E168" s="3"/>
    </row>
    <row r="169" spans="1:5">
      <c r="A169" t="s">
        <v>13</v>
      </c>
      <c r="B169" t="s">
        <v>30</v>
      </c>
      <c r="C169" t="s">
        <v>7</v>
      </c>
      <c r="D169" s="7">
        <v>252</v>
      </c>
      <c r="E169" s="3"/>
    </row>
    <row r="170" spans="1:5">
      <c r="A170" t="s">
        <v>13</v>
      </c>
      <c r="B170" t="s">
        <v>29</v>
      </c>
      <c r="C170" t="s">
        <v>7</v>
      </c>
      <c r="D170" s="7">
        <v>963</v>
      </c>
      <c r="E170" s="3"/>
    </row>
    <row r="171" spans="1:5">
      <c r="A171" t="s">
        <v>13</v>
      </c>
      <c r="B171" t="s">
        <v>24</v>
      </c>
      <c r="C171" t="s">
        <v>7</v>
      </c>
      <c r="D171" s="7">
        <v>418</v>
      </c>
      <c r="E171" s="3"/>
    </row>
    <row r="172" spans="1:5">
      <c r="A172" t="s">
        <v>14</v>
      </c>
      <c r="B172" t="s">
        <v>31</v>
      </c>
      <c r="C172" t="s">
        <v>1</v>
      </c>
      <c r="D172" s="7">
        <v>494</v>
      </c>
      <c r="E172" s="3"/>
    </row>
    <row r="173" spans="1:5">
      <c r="A173" t="s">
        <v>14</v>
      </c>
      <c r="B173" t="s">
        <v>28</v>
      </c>
      <c r="C173" t="s">
        <v>1</v>
      </c>
      <c r="D173" s="7">
        <v>515</v>
      </c>
      <c r="E173" s="3"/>
    </row>
    <row r="174" spans="1:5">
      <c r="A174" t="s">
        <v>14</v>
      </c>
      <c r="B174" t="s">
        <v>27</v>
      </c>
      <c r="C174" t="s">
        <v>1</v>
      </c>
      <c r="D174" s="7">
        <v>752</v>
      </c>
      <c r="E174" s="3"/>
    </row>
    <row r="175" spans="1:5">
      <c r="A175" t="s">
        <v>14</v>
      </c>
      <c r="B175" t="s">
        <v>30</v>
      </c>
      <c r="C175" t="s">
        <v>1</v>
      </c>
      <c r="D175" s="7">
        <v>646</v>
      </c>
      <c r="E175" s="3"/>
    </row>
    <row r="176" spans="1:5">
      <c r="A176" t="s">
        <v>14</v>
      </c>
      <c r="B176" t="s">
        <v>29</v>
      </c>
      <c r="C176" t="s">
        <v>1</v>
      </c>
      <c r="D176" s="7">
        <v>208</v>
      </c>
      <c r="E176" s="3"/>
    </row>
    <row r="177" spans="1:5">
      <c r="A177" t="s">
        <v>14</v>
      </c>
      <c r="B177" t="s">
        <v>24</v>
      </c>
      <c r="C177" t="s">
        <v>1</v>
      </c>
      <c r="D177" s="7">
        <v>174</v>
      </c>
      <c r="E177" s="3"/>
    </row>
    <row r="178" spans="1:5">
      <c r="A178" t="s">
        <v>14</v>
      </c>
      <c r="B178" t="s">
        <v>31</v>
      </c>
      <c r="C178" t="s">
        <v>6</v>
      </c>
      <c r="D178" s="7">
        <v>136</v>
      </c>
      <c r="E178" s="3"/>
    </row>
    <row r="179" spans="1:5">
      <c r="A179" t="s">
        <v>14</v>
      </c>
      <c r="B179" t="s">
        <v>28</v>
      </c>
      <c r="C179" t="s">
        <v>6</v>
      </c>
      <c r="D179" s="7">
        <v>736</v>
      </c>
      <c r="E179" s="3"/>
    </row>
    <row r="180" spans="1:5">
      <c r="A180" t="s">
        <v>14</v>
      </c>
      <c r="B180" t="s">
        <v>27</v>
      </c>
      <c r="C180" t="s">
        <v>6</v>
      </c>
      <c r="D180" s="7">
        <v>331</v>
      </c>
      <c r="E180" s="3"/>
    </row>
    <row r="181" spans="1:5">
      <c r="A181" t="s">
        <v>14</v>
      </c>
      <c r="B181" t="s">
        <v>30</v>
      </c>
      <c r="C181" t="s">
        <v>6</v>
      </c>
      <c r="D181" s="7">
        <v>330</v>
      </c>
      <c r="E181" s="3"/>
    </row>
    <row r="182" spans="1:5">
      <c r="A182" t="s">
        <v>14</v>
      </c>
      <c r="B182" t="s">
        <v>29</v>
      </c>
      <c r="C182" t="s">
        <v>6</v>
      </c>
      <c r="D182" s="7">
        <v>838</v>
      </c>
      <c r="E182" s="3"/>
    </row>
    <row r="183" spans="1:5">
      <c r="A183" t="s">
        <v>14</v>
      </c>
      <c r="B183" t="s">
        <v>24</v>
      </c>
      <c r="C183" t="s">
        <v>6</v>
      </c>
      <c r="D183" s="7">
        <v>620</v>
      </c>
      <c r="E183" s="3"/>
    </row>
    <row r="184" spans="1:5">
      <c r="A184" t="s">
        <v>14</v>
      </c>
      <c r="B184" t="s">
        <v>31</v>
      </c>
      <c r="C184" t="s">
        <v>7</v>
      </c>
      <c r="D184" s="7">
        <v>299</v>
      </c>
      <c r="E184" s="3"/>
    </row>
    <row r="185" spans="1:5">
      <c r="A185" t="s">
        <v>14</v>
      </c>
      <c r="B185" t="s">
        <v>28</v>
      </c>
      <c r="C185" t="s">
        <v>7</v>
      </c>
      <c r="D185" s="7">
        <v>101</v>
      </c>
      <c r="E185" s="3"/>
    </row>
    <row r="186" spans="1:5">
      <c r="A186" t="s">
        <v>14</v>
      </c>
      <c r="B186" t="s">
        <v>27</v>
      </c>
      <c r="C186" t="s">
        <v>7</v>
      </c>
      <c r="D186" s="7">
        <v>235</v>
      </c>
      <c r="E186" s="3"/>
    </row>
    <row r="187" spans="1:5">
      <c r="A187" t="s">
        <v>14</v>
      </c>
      <c r="B187" t="s">
        <v>30</v>
      </c>
      <c r="C187" t="s">
        <v>7</v>
      </c>
      <c r="D187" s="7">
        <v>692</v>
      </c>
      <c r="E187" s="3"/>
    </row>
    <row r="188" spans="1:5">
      <c r="A188" t="s">
        <v>14</v>
      </c>
      <c r="B188" t="s">
        <v>29</v>
      </c>
      <c r="C188" t="s">
        <v>7</v>
      </c>
      <c r="D188" s="7">
        <v>431</v>
      </c>
      <c r="E188" s="3"/>
    </row>
    <row r="189" spans="1:5">
      <c r="A189" t="s">
        <v>14</v>
      </c>
      <c r="B189" t="s">
        <v>24</v>
      </c>
      <c r="C189" t="s">
        <v>7</v>
      </c>
      <c r="D189" s="7">
        <v>161</v>
      </c>
      <c r="E189" s="3"/>
    </row>
    <row r="190" spans="1:5">
      <c r="A190" t="s">
        <v>15</v>
      </c>
      <c r="B190" t="s">
        <v>31</v>
      </c>
      <c r="C190" t="s">
        <v>1</v>
      </c>
      <c r="D190" s="7">
        <v>151</v>
      </c>
      <c r="E190" s="3"/>
    </row>
    <row r="191" spans="1:5">
      <c r="A191" t="s">
        <v>15</v>
      </c>
      <c r="B191" t="s">
        <v>28</v>
      </c>
      <c r="C191" t="s">
        <v>1</v>
      </c>
      <c r="D191" s="7">
        <v>858</v>
      </c>
      <c r="E191" s="3"/>
    </row>
    <row r="192" spans="1:5">
      <c r="A192" t="s">
        <v>15</v>
      </c>
      <c r="B192" t="s">
        <v>27</v>
      </c>
      <c r="C192" t="s">
        <v>1</v>
      </c>
      <c r="D192" s="7">
        <v>132</v>
      </c>
      <c r="E192" s="3"/>
    </row>
    <row r="193" spans="1:5">
      <c r="A193" t="s">
        <v>15</v>
      </c>
      <c r="B193" t="s">
        <v>30</v>
      </c>
      <c r="C193" t="s">
        <v>1</v>
      </c>
      <c r="D193" s="7">
        <v>238</v>
      </c>
      <c r="E193" s="3"/>
    </row>
    <row r="194" spans="1:5">
      <c r="A194" t="s">
        <v>15</v>
      </c>
      <c r="B194" t="s">
        <v>29</v>
      </c>
      <c r="C194" t="s">
        <v>1</v>
      </c>
      <c r="D194" s="7">
        <v>492</v>
      </c>
      <c r="E194" s="3"/>
    </row>
    <row r="195" spans="1:5">
      <c r="A195" t="s">
        <v>15</v>
      </c>
      <c r="B195" t="s">
        <v>24</v>
      </c>
      <c r="C195" t="s">
        <v>1</v>
      </c>
      <c r="D195" s="7">
        <v>293</v>
      </c>
      <c r="E195" s="3"/>
    </row>
    <row r="196" spans="1:5">
      <c r="A196" t="s">
        <v>15</v>
      </c>
      <c r="B196" t="s">
        <v>31</v>
      </c>
      <c r="C196" t="s">
        <v>6</v>
      </c>
      <c r="D196" s="7">
        <v>759</v>
      </c>
      <c r="E196" s="3"/>
    </row>
    <row r="197" spans="1:5">
      <c r="A197" t="s">
        <v>15</v>
      </c>
      <c r="B197" t="s">
        <v>28</v>
      </c>
      <c r="C197" t="s">
        <v>6</v>
      </c>
      <c r="D197" s="7">
        <v>901</v>
      </c>
      <c r="E197" s="3"/>
    </row>
    <row r="198" spans="1:5">
      <c r="A198" t="s">
        <v>15</v>
      </c>
      <c r="B198" t="s">
        <v>27</v>
      </c>
      <c r="C198" t="s">
        <v>6</v>
      </c>
      <c r="D198" s="7">
        <v>609</v>
      </c>
      <c r="E198" s="3"/>
    </row>
    <row r="199" spans="1:5">
      <c r="A199" t="s">
        <v>15</v>
      </c>
      <c r="B199" t="s">
        <v>30</v>
      </c>
      <c r="C199" t="s">
        <v>6</v>
      </c>
      <c r="D199" s="7">
        <v>119</v>
      </c>
      <c r="E199" s="3"/>
    </row>
    <row r="200" spans="1:5">
      <c r="A200" t="s">
        <v>15</v>
      </c>
      <c r="B200" t="s">
        <v>29</v>
      </c>
      <c r="C200" t="s">
        <v>6</v>
      </c>
      <c r="D200" s="7">
        <v>746</v>
      </c>
      <c r="E200" s="3"/>
    </row>
    <row r="201" spans="1:5">
      <c r="A201" t="s">
        <v>15</v>
      </c>
      <c r="B201" t="s">
        <v>24</v>
      </c>
      <c r="C201" t="s">
        <v>6</v>
      </c>
      <c r="D201" s="7">
        <v>638</v>
      </c>
      <c r="E201" s="3"/>
    </row>
    <row r="202" spans="1:5">
      <c r="A202" t="s">
        <v>15</v>
      </c>
      <c r="B202" t="s">
        <v>31</v>
      </c>
      <c r="C202" t="s">
        <v>7</v>
      </c>
      <c r="D202" s="7">
        <v>866</v>
      </c>
      <c r="E202" s="3"/>
    </row>
    <row r="203" spans="1:5">
      <c r="A203" t="s">
        <v>15</v>
      </c>
      <c r="B203" t="s">
        <v>28</v>
      </c>
      <c r="C203" t="s">
        <v>7</v>
      </c>
      <c r="D203" s="7">
        <v>238</v>
      </c>
      <c r="E203" s="3"/>
    </row>
    <row r="204" spans="1:5">
      <c r="A204" t="s">
        <v>15</v>
      </c>
      <c r="B204" t="s">
        <v>27</v>
      </c>
      <c r="C204" t="s">
        <v>7</v>
      </c>
      <c r="D204" s="7">
        <v>894</v>
      </c>
      <c r="E204" s="3"/>
    </row>
    <row r="205" spans="1:5">
      <c r="A205" t="s">
        <v>15</v>
      </c>
      <c r="B205" t="s">
        <v>30</v>
      </c>
      <c r="C205" t="s">
        <v>7</v>
      </c>
      <c r="D205" s="7">
        <v>642</v>
      </c>
      <c r="E205" s="3"/>
    </row>
    <row r="206" spans="1:5">
      <c r="A206" t="s">
        <v>15</v>
      </c>
      <c r="B206" t="s">
        <v>29</v>
      </c>
      <c r="C206" t="s">
        <v>7</v>
      </c>
      <c r="D206" s="7">
        <v>358</v>
      </c>
      <c r="E206" s="3"/>
    </row>
    <row r="207" spans="1:5">
      <c r="A207" t="s">
        <v>15</v>
      </c>
      <c r="B207" t="s">
        <v>24</v>
      </c>
      <c r="C207" t="s">
        <v>7</v>
      </c>
      <c r="D207" s="7">
        <v>774</v>
      </c>
      <c r="E207" s="3"/>
    </row>
    <row r="208" spans="1:5">
      <c r="A208" t="s">
        <v>16</v>
      </c>
      <c r="B208" t="s">
        <v>31</v>
      </c>
      <c r="C208" t="s">
        <v>1</v>
      </c>
      <c r="D208" s="7">
        <v>256</v>
      </c>
      <c r="E208" s="3"/>
    </row>
    <row r="209" spans="1:5">
      <c r="A209" t="s">
        <v>16</v>
      </c>
      <c r="B209" t="s">
        <v>28</v>
      </c>
      <c r="C209" t="s">
        <v>1</v>
      </c>
      <c r="D209" s="7">
        <v>885</v>
      </c>
      <c r="E209" s="3"/>
    </row>
    <row r="210" spans="1:5">
      <c r="A210" t="s">
        <v>16</v>
      </c>
      <c r="B210" t="s">
        <v>27</v>
      </c>
      <c r="C210" t="s">
        <v>1</v>
      </c>
      <c r="D210" s="7">
        <v>579</v>
      </c>
      <c r="E210" s="3"/>
    </row>
    <row r="211" spans="1:5">
      <c r="A211" t="s">
        <v>16</v>
      </c>
      <c r="B211" t="s">
        <v>30</v>
      </c>
      <c r="C211" t="s">
        <v>1</v>
      </c>
      <c r="D211" s="7">
        <v>981</v>
      </c>
      <c r="E211" s="3"/>
    </row>
    <row r="212" spans="1:5">
      <c r="A212" t="s">
        <v>16</v>
      </c>
      <c r="B212" t="s">
        <v>29</v>
      </c>
      <c r="C212" t="s">
        <v>1</v>
      </c>
      <c r="D212" s="7">
        <v>617</v>
      </c>
      <c r="E212" s="3"/>
    </row>
    <row r="213" spans="1:5">
      <c r="A213" t="s">
        <v>16</v>
      </c>
      <c r="B213" t="s">
        <v>24</v>
      </c>
      <c r="C213" t="s">
        <v>1</v>
      </c>
      <c r="D213" s="7">
        <v>315</v>
      </c>
      <c r="E213" s="3"/>
    </row>
    <row r="214" spans="1:5">
      <c r="A214" t="s">
        <v>16</v>
      </c>
      <c r="B214" t="s">
        <v>31</v>
      </c>
      <c r="C214" t="s">
        <v>6</v>
      </c>
      <c r="D214" s="7">
        <v>389</v>
      </c>
      <c r="E214" s="3"/>
    </row>
    <row r="215" spans="1:5">
      <c r="A215" t="s">
        <v>16</v>
      </c>
      <c r="B215" t="s">
        <v>28</v>
      </c>
      <c r="C215" t="s">
        <v>6</v>
      </c>
      <c r="D215" s="7">
        <v>769</v>
      </c>
      <c r="E215" s="3"/>
    </row>
    <row r="216" spans="1:5">
      <c r="A216" t="s">
        <v>16</v>
      </c>
      <c r="B216" t="s">
        <v>27</v>
      </c>
      <c r="C216" t="s">
        <v>6</v>
      </c>
      <c r="D216" s="7">
        <v>936</v>
      </c>
      <c r="E216" s="3"/>
    </row>
    <row r="217" spans="1:5">
      <c r="A217" t="s">
        <v>16</v>
      </c>
      <c r="B217" t="s">
        <v>30</v>
      </c>
      <c r="C217" t="s">
        <v>6</v>
      </c>
      <c r="D217" s="7">
        <v>701</v>
      </c>
      <c r="E217" s="3"/>
    </row>
    <row r="218" spans="1:5">
      <c r="A218" t="s">
        <v>16</v>
      </c>
      <c r="B218" t="s">
        <v>29</v>
      </c>
      <c r="C218" t="s">
        <v>6</v>
      </c>
      <c r="D218" s="7">
        <v>833</v>
      </c>
      <c r="E218" s="3"/>
    </row>
    <row r="219" spans="1:5">
      <c r="A219" t="s">
        <v>16</v>
      </c>
      <c r="B219" t="s">
        <v>24</v>
      </c>
      <c r="C219" t="s">
        <v>6</v>
      </c>
      <c r="D219" s="7">
        <v>201</v>
      </c>
      <c r="E219" s="3"/>
    </row>
    <row r="220" spans="1:5">
      <c r="A220" t="s">
        <v>16</v>
      </c>
      <c r="B220" t="s">
        <v>31</v>
      </c>
      <c r="C220" t="s">
        <v>7</v>
      </c>
      <c r="D220" s="7">
        <v>221</v>
      </c>
      <c r="E220" s="3"/>
    </row>
    <row r="221" spans="1:5">
      <c r="A221" t="s">
        <v>16</v>
      </c>
      <c r="B221" t="s">
        <v>28</v>
      </c>
      <c r="C221" t="s">
        <v>7</v>
      </c>
      <c r="D221" s="7">
        <v>741</v>
      </c>
      <c r="E221" s="3"/>
    </row>
    <row r="222" spans="1:5">
      <c r="A222" t="s">
        <v>16</v>
      </c>
      <c r="B222" t="s">
        <v>27</v>
      </c>
      <c r="C222" t="s">
        <v>7</v>
      </c>
      <c r="D222" s="7">
        <v>431</v>
      </c>
      <c r="E222" s="3"/>
    </row>
    <row r="223" spans="1:5">
      <c r="A223" t="s">
        <v>16</v>
      </c>
      <c r="B223" t="s">
        <v>30</v>
      </c>
      <c r="C223" t="s">
        <v>7</v>
      </c>
      <c r="D223" s="7">
        <v>845</v>
      </c>
      <c r="E223" s="3"/>
    </row>
    <row r="224" spans="1:5">
      <c r="A224" t="s">
        <v>16</v>
      </c>
      <c r="B224" t="s">
        <v>29</v>
      </c>
      <c r="C224" t="s">
        <v>7</v>
      </c>
      <c r="D224" s="7">
        <v>317</v>
      </c>
      <c r="E224" s="3"/>
    </row>
    <row r="225" spans="1:5">
      <c r="A225" t="s">
        <v>16</v>
      </c>
      <c r="B225" t="s">
        <v>24</v>
      </c>
      <c r="C225" t="s">
        <v>7</v>
      </c>
      <c r="D225" s="7">
        <v>327</v>
      </c>
      <c r="E225" s="3"/>
    </row>
  </sheetData>
  <pageMargins left="0.75" right="0.75" top="1" bottom="1" header="0.5" footer="0.5"/>
  <pageSetup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26E9C-C0CF-4E69-8E2D-9802AD9B9914}">
  <dimension ref="A1:K54"/>
  <sheetViews>
    <sheetView workbookViewId="0">
      <selection activeCell="I16" sqref="I16"/>
    </sheetView>
  </sheetViews>
  <sheetFormatPr defaultRowHeight="13.15"/>
  <cols>
    <col min="1" max="2" width="15.28515625" bestFit="1" customWidth="1"/>
    <col min="3" max="3" width="12.28515625" style="14" bestFit="1" customWidth="1"/>
    <col min="4" max="4" width="16.140625" style="14" bestFit="1" customWidth="1"/>
    <col min="9" max="9" width="38.28515625" customWidth="1"/>
    <col min="11" max="11" width="65" customWidth="1"/>
  </cols>
  <sheetData>
    <row r="1" spans="1:11">
      <c r="J1" t="s">
        <v>32</v>
      </c>
      <c r="K1" t="s">
        <v>33</v>
      </c>
    </row>
    <row r="2" spans="1:11">
      <c r="A2" s="12" t="s">
        <v>34</v>
      </c>
      <c r="B2" t="s">
        <v>35</v>
      </c>
    </row>
    <row r="4" spans="1:11">
      <c r="A4" s="12" t="s">
        <v>5</v>
      </c>
      <c r="B4" t="s">
        <v>36</v>
      </c>
      <c r="C4" s="14" t="s">
        <v>37</v>
      </c>
      <c r="D4" s="14" t="s">
        <v>38</v>
      </c>
    </row>
    <row r="5" spans="1:11">
      <c r="A5" s="13" t="s">
        <v>39</v>
      </c>
      <c r="B5">
        <v>6</v>
      </c>
      <c r="C5" s="14">
        <v>238.89599999999999</v>
      </c>
      <c r="D5" s="14">
        <v>430.01279999999997</v>
      </c>
    </row>
    <row r="6" spans="1:11">
      <c r="A6" s="13" t="s">
        <v>40</v>
      </c>
      <c r="B6">
        <v>2</v>
      </c>
      <c r="C6" s="14">
        <v>79.900000000000006</v>
      </c>
      <c r="D6" s="14">
        <v>47.940000000000005</v>
      </c>
    </row>
    <row r="7" spans="1:11">
      <c r="A7" s="13" t="s">
        <v>41</v>
      </c>
      <c r="B7">
        <v>5</v>
      </c>
      <c r="C7" s="14">
        <v>28.4</v>
      </c>
      <c r="D7" s="14">
        <v>42.6</v>
      </c>
    </row>
    <row r="8" spans="1:11">
      <c r="A8" s="13" t="s">
        <v>42</v>
      </c>
      <c r="B8">
        <v>1</v>
      </c>
      <c r="C8" s="14">
        <v>3.3039999999999998</v>
      </c>
      <c r="D8" s="14">
        <v>0.99119999999999986</v>
      </c>
    </row>
    <row r="9" spans="1:11">
      <c r="A9" s="13" t="s">
        <v>43</v>
      </c>
      <c r="B9">
        <v>28</v>
      </c>
      <c r="C9" s="14">
        <v>666.62700000000007</v>
      </c>
      <c r="D9" s="14">
        <v>818.45249999999999</v>
      </c>
    </row>
    <row r="10" spans="1:11">
      <c r="A10" s="13" t="s">
        <v>44</v>
      </c>
      <c r="B10">
        <v>1</v>
      </c>
      <c r="C10" s="14">
        <v>37.207999999999998</v>
      </c>
      <c r="D10" s="14">
        <v>11.1624</v>
      </c>
    </row>
    <row r="11" spans="1:11">
      <c r="A11" s="13" t="s">
        <v>45</v>
      </c>
      <c r="B11">
        <v>8</v>
      </c>
      <c r="C11" s="14">
        <v>296.952</v>
      </c>
      <c r="D11" s="14">
        <v>314.41680000000002</v>
      </c>
    </row>
    <row r="12" spans="1:11">
      <c r="A12" s="13" t="s">
        <v>46</v>
      </c>
      <c r="B12">
        <v>2</v>
      </c>
      <c r="C12" s="14">
        <v>161.56800000000001</v>
      </c>
      <c r="D12" s="14">
        <v>96.94080000000001</v>
      </c>
    </row>
    <row r="13" spans="1:11">
      <c r="A13" s="13" t="s">
        <v>47</v>
      </c>
      <c r="B13">
        <v>24</v>
      </c>
      <c r="C13" s="14">
        <v>156.21799999999999</v>
      </c>
      <c r="D13" s="14">
        <v>200.71619999999996</v>
      </c>
    </row>
    <row r="14" spans="1:11">
      <c r="A14" s="13" t="s">
        <v>48</v>
      </c>
      <c r="B14">
        <v>3</v>
      </c>
      <c r="C14" s="14">
        <v>15.552</v>
      </c>
      <c r="D14" s="14">
        <v>13.996799999999999</v>
      </c>
    </row>
    <row r="15" spans="1:11">
      <c r="A15" s="13" t="s">
        <v>49</v>
      </c>
      <c r="B15">
        <v>2</v>
      </c>
      <c r="C15" s="14">
        <v>20.8</v>
      </c>
      <c r="D15" s="14">
        <v>12.48</v>
      </c>
    </row>
    <row r="16" spans="1:11">
      <c r="A16" s="13" t="s">
        <v>50</v>
      </c>
      <c r="B16">
        <v>3</v>
      </c>
      <c r="C16" s="14">
        <v>232.976</v>
      </c>
      <c r="D16" s="14">
        <v>77.337599999999995</v>
      </c>
    </row>
    <row r="17" spans="1:4">
      <c r="A17" s="13" t="s">
        <v>51</v>
      </c>
      <c r="B17">
        <v>2</v>
      </c>
      <c r="C17" s="14">
        <v>21.8</v>
      </c>
      <c r="D17" s="14">
        <v>13.08</v>
      </c>
    </row>
    <row r="18" spans="1:4">
      <c r="A18" s="13" t="s">
        <v>52</v>
      </c>
      <c r="B18">
        <v>10</v>
      </c>
      <c r="C18" s="14">
        <v>558.27600000000007</v>
      </c>
      <c r="D18" s="14">
        <v>666.58080000000007</v>
      </c>
    </row>
    <row r="19" spans="1:4">
      <c r="A19" s="13" t="s">
        <v>53</v>
      </c>
      <c r="B19">
        <v>7</v>
      </c>
      <c r="C19" s="14">
        <v>944.93000000000006</v>
      </c>
      <c r="D19" s="14">
        <v>1984.3530000000001</v>
      </c>
    </row>
    <row r="20" spans="1:4">
      <c r="A20" s="13" t="s">
        <v>54</v>
      </c>
      <c r="B20">
        <v>5</v>
      </c>
      <c r="C20" s="14">
        <v>957.57749999999999</v>
      </c>
      <c r="D20" s="14">
        <v>1436.3662499999998</v>
      </c>
    </row>
    <row r="21" spans="1:4">
      <c r="A21" s="13" t="s">
        <v>55</v>
      </c>
      <c r="B21">
        <v>3</v>
      </c>
      <c r="C21" s="14">
        <v>2.544</v>
      </c>
      <c r="D21" s="14">
        <v>2.2895999999999996</v>
      </c>
    </row>
    <row r="22" spans="1:4">
      <c r="A22" s="13" t="s">
        <v>56</v>
      </c>
      <c r="B22">
        <v>23</v>
      </c>
      <c r="C22" s="14">
        <v>591.16800000000001</v>
      </c>
      <c r="D22" s="14">
        <v>1599.8627999999999</v>
      </c>
    </row>
    <row r="23" spans="1:4">
      <c r="A23" s="13" t="s">
        <v>57</v>
      </c>
      <c r="B23">
        <v>8</v>
      </c>
      <c r="C23" s="14">
        <v>1113.0239999999999</v>
      </c>
      <c r="D23" s="14">
        <v>2671.2575999999995</v>
      </c>
    </row>
    <row r="24" spans="1:4">
      <c r="A24" s="13" t="s">
        <v>58</v>
      </c>
      <c r="B24">
        <v>3</v>
      </c>
      <c r="C24" s="14">
        <v>37.223999999999997</v>
      </c>
      <c r="D24" s="14">
        <v>33.501599999999996</v>
      </c>
    </row>
    <row r="25" spans="1:4">
      <c r="A25" s="13" t="s">
        <v>59</v>
      </c>
      <c r="B25">
        <v>2</v>
      </c>
      <c r="C25" s="14">
        <v>7.4080000000000004</v>
      </c>
      <c r="D25" s="14">
        <v>4.4447999999999999</v>
      </c>
    </row>
    <row r="26" spans="1:4">
      <c r="A26" s="13" t="s">
        <v>60</v>
      </c>
      <c r="B26">
        <v>2</v>
      </c>
      <c r="C26" s="14">
        <v>261.95999999999998</v>
      </c>
      <c r="D26" s="14">
        <v>157.17599999999999</v>
      </c>
    </row>
    <row r="27" spans="1:4">
      <c r="A27" s="13" t="s">
        <v>61</v>
      </c>
      <c r="B27">
        <v>16</v>
      </c>
      <c r="C27" s="14">
        <v>234.68600000000001</v>
      </c>
      <c r="D27" s="14">
        <v>224.04539999999997</v>
      </c>
    </row>
    <row r="28" spans="1:4">
      <c r="A28" s="13" t="s">
        <v>62</v>
      </c>
      <c r="B28">
        <v>3</v>
      </c>
      <c r="C28" s="14">
        <v>839.43000000000006</v>
      </c>
      <c r="D28" s="14">
        <v>755.48699999999997</v>
      </c>
    </row>
    <row r="29" spans="1:4">
      <c r="A29" s="13" t="s">
        <v>32</v>
      </c>
      <c r="B29">
        <v>16</v>
      </c>
      <c r="C29" s="14">
        <v>3531.0299999999997</v>
      </c>
      <c r="D29" s="14">
        <v>6489.8849999999984</v>
      </c>
    </row>
    <row r="30" spans="1:4">
      <c r="A30" s="13" t="s">
        <v>63</v>
      </c>
      <c r="B30">
        <v>32</v>
      </c>
      <c r="C30" s="14">
        <v>1295.9400000000003</v>
      </c>
      <c r="D30" s="14">
        <v>2224.0812000000005</v>
      </c>
    </row>
    <row r="31" spans="1:4">
      <c r="A31" s="13" t="s">
        <v>64</v>
      </c>
      <c r="B31">
        <v>2</v>
      </c>
      <c r="C31" s="14">
        <v>89.584000000000003</v>
      </c>
      <c r="D31" s="14">
        <v>53.750399999999999</v>
      </c>
    </row>
    <row r="32" spans="1:4">
      <c r="A32" s="13" t="s">
        <v>65</v>
      </c>
      <c r="B32">
        <v>2</v>
      </c>
      <c r="C32" s="14">
        <v>95.616</v>
      </c>
      <c r="D32" s="14">
        <v>57.369599999999998</v>
      </c>
    </row>
    <row r="33" spans="1:4">
      <c r="A33" s="13" t="s">
        <v>66</v>
      </c>
      <c r="B33">
        <v>8</v>
      </c>
      <c r="C33" s="14">
        <v>831.93600000000015</v>
      </c>
      <c r="D33" s="14">
        <v>1996.6464000000003</v>
      </c>
    </row>
    <row r="34" spans="1:4">
      <c r="A34" s="13" t="s">
        <v>67</v>
      </c>
      <c r="B34">
        <v>5</v>
      </c>
      <c r="C34" s="14">
        <v>149.94999999999999</v>
      </c>
      <c r="D34" s="14">
        <v>224.92499999999998</v>
      </c>
    </row>
    <row r="35" spans="1:4">
      <c r="A35" s="13" t="s">
        <v>68</v>
      </c>
      <c r="B35">
        <v>2</v>
      </c>
      <c r="C35" s="14">
        <v>6.16</v>
      </c>
      <c r="D35" s="14">
        <v>3.6959999999999997</v>
      </c>
    </row>
    <row r="36" spans="1:4">
      <c r="A36" s="13" t="s">
        <v>69</v>
      </c>
      <c r="B36">
        <v>27</v>
      </c>
      <c r="C36" s="14">
        <v>2353.8220000000006</v>
      </c>
      <c r="D36" s="14">
        <v>2971.3338000000003</v>
      </c>
    </row>
    <row r="37" spans="1:4">
      <c r="A37" s="13" t="s">
        <v>70</v>
      </c>
      <c r="B37">
        <v>3</v>
      </c>
      <c r="C37" s="14">
        <v>1044.6300000000001</v>
      </c>
      <c r="D37" s="14">
        <v>940.16700000000003</v>
      </c>
    </row>
    <row r="38" spans="1:4">
      <c r="A38" s="13" t="s">
        <v>71</v>
      </c>
      <c r="B38">
        <v>24</v>
      </c>
      <c r="C38" s="14">
        <v>3210.1759999999999</v>
      </c>
      <c r="D38" s="14">
        <v>6670.5378000000001</v>
      </c>
    </row>
    <row r="39" spans="1:4">
      <c r="A39" s="13" t="s">
        <v>72</v>
      </c>
      <c r="B39">
        <v>9</v>
      </c>
      <c r="C39" s="14">
        <v>246.38</v>
      </c>
      <c r="D39" s="14">
        <v>513.81600000000003</v>
      </c>
    </row>
    <row r="40" spans="1:4">
      <c r="A40" s="13" t="s">
        <v>73</v>
      </c>
      <c r="B40">
        <v>10</v>
      </c>
      <c r="C40" s="14">
        <v>381.56</v>
      </c>
      <c r="D40" s="14">
        <v>572.33999999999992</v>
      </c>
    </row>
    <row r="41" spans="1:4">
      <c r="A41" s="13" t="s">
        <v>74</v>
      </c>
      <c r="B41">
        <v>5</v>
      </c>
      <c r="C41" s="14">
        <v>190.92</v>
      </c>
      <c r="D41" s="14">
        <v>286.37999999999994</v>
      </c>
    </row>
    <row r="42" spans="1:4">
      <c r="A42" s="13" t="s">
        <v>75</v>
      </c>
      <c r="B42">
        <v>6</v>
      </c>
      <c r="C42" s="14">
        <v>30.080000000000002</v>
      </c>
      <c r="D42" s="14">
        <v>32.4</v>
      </c>
    </row>
    <row r="43" spans="1:4">
      <c r="A43" s="13" t="s">
        <v>76</v>
      </c>
      <c r="B43">
        <v>24</v>
      </c>
      <c r="C43" s="14">
        <v>120.52</v>
      </c>
      <c r="D43" s="14">
        <v>313.512</v>
      </c>
    </row>
    <row r="44" spans="1:4">
      <c r="A44" s="13" t="s">
        <v>77</v>
      </c>
      <c r="B44">
        <v>3</v>
      </c>
      <c r="C44" s="14">
        <v>223.96999999999997</v>
      </c>
      <c r="D44" s="14">
        <v>106.78499999999998</v>
      </c>
    </row>
    <row r="45" spans="1:4">
      <c r="A45" s="13" t="s">
        <v>78</v>
      </c>
      <c r="B45">
        <v>6</v>
      </c>
      <c r="C45" s="14">
        <v>32.064</v>
      </c>
      <c r="D45" s="14">
        <v>57.715200000000003</v>
      </c>
    </row>
    <row r="46" spans="1:4">
      <c r="A46" s="13" t="s">
        <v>79</v>
      </c>
      <c r="B46">
        <v>15</v>
      </c>
      <c r="C46" s="14">
        <v>437.25</v>
      </c>
      <c r="D46" s="14">
        <v>642.87300000000005</v>
      </c>
    </row>
    <row r="47" spans="1:4">
      <c r="A47" s="13" t="s">
        <v>80</v>
      </c>
      <c r="B47">
        <v>5</v>
      </c>
      <c r="C47" s="14">
        <v>157.91999999999999</v>
      </c>
      <c r="D47" s="14">
        <v>236.87999999999997</v>
      </c>
    </row>
    <row r="48" spans="1:4">
      <c r="A48" s="13" t="s">
        <v>81</v>
      </c>
      <c r="B48">
        <v>5</v>
      </c>
      <c r="C48" s="14">
        <v>34.31</v>
      </c>
      <c r="D48" s="14">
        <v>22.574999999999999</v>
      </c>
    </row>
    <row r="49" spans="1:4">
      <c r="A49" s="13" t="s">
        <v>82</v>
      </c>
      <c r="B49">
        <v>8</v>
      </c>
      <c r="C49" s="14">
        <v>1109.9080000000001</v>
      </c>
      <c r="D49" s="14">
        <v>928.75920000000019</v>
      </c>
    </row>
    <row r="50" spans="1:4">
      <c r="A50" s="13" t="s">
        <v>83</v>
      </c>
      <c r="B50">
        <v>10</v>
      </c>
      <c r="C50" s="14">
        <v>257.04000000000002</v>
      </c>
      <c r="D50" s="14">
        <v>433.584</v>
      </c>
    </row>
    <row r="51" spans="1:4">
      <c r="A51" s="13" t="s">
        <v>84</v>
      </c>
      <c r="B51">
        <v>2</v>
      </c>
      <c r="C51" s="14">
        <v>75.959999999999994</v>
      </c>
      <c r="D51" s="14">
        <v>45.575999999999993</v>
      </c>
    </row>
    <row r="52" spans="1:4">
      <c r="A52" s="13" t="s">
        <v>85</v>
      </c>
      <c r="B52">
        <v>11</v>
      </c>
      <c r="C52" s="14">
        <v>98.88000000000001</v>
      </c>
      <c r="D52" s="14">
        <v>179.892</v>
      </c>
    </row>
    <row r="53" spans="1:4">
      <c r="A53" s="13" t="s">
        <v>86</v>
      </c>
    </row>
    <row r="54" spans="1:4">
      <c r="A54" s="13" t="s">
        <v>8</v>
      </c>
      <c r="B54">
        <v>409</v>
      </c>
      <c r="C54" s="14">
        <v>23514.034500000005</v>
      </c>
      <c r="D54" s="14">
        <v>37620.971550000002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Y333"/>
  <sheetViews>
    <sheetView topLeftCell="P1" workbookViewId="0">
      <selection activeCell="X318" sqref="X318"/>
    </sheetView>
  </sheetViews>
  <sheetFormatPr defaultRowHeight="13.15"/>
  <cols>
    <col min="1" max="1" width="10.28515625" bestFit="1" customWidth="1"/>
    <col min="2" max="2" width="15.42578125" bestFit="1" customWidth="1"/>
    <col min="3" max="3" width="14" bestFit="1" customWidth="1"/>
    <col min="4" max="4" width="12.5703125" bestFit="1" customWidth="1"/>
    <col min="5" max="5" width="14" bestFit="1" customWidth="1"/>
    <col min="6" max="6" width="15.140625" bestFit="1" customWidth="1"/>
    <col min="7" max="7" width="18.85546875" bestFit="1" customWidth="1"/>
    <col min="8" max="8" width="11.7109375" bestFit="1" customWidth="1"/>
    <col min="9" max="9" width="12.28515625" bestFit="1" customWidth="1"/>
    <col min="10" max="10" width="18.42578125" customWidth="1"/>
    <col min="11" max="11" width="13.5703125" customWidth="1"/>
    <col min="12" max="12" width="14.5703125" bestFit="1" customWidth="1"/>
    <col min="13" max="13" width="10" bestFit="1" customWidth="1"/>
    <col min="14" max="14" width="17.42578125" bestFit="1" customWidth="1"/>
    <col min="15" max="15" width="13.5703125" bestFit="1" customWidth="1"/>
    <col min="16" max="16" width="16.140625" bestFit="1" customWidth="1"/>
    <col min="17" max="17" width="34.42578125" customWidth="1"/>
    <col min="18" max="18" width="9.140625" style="9"/>
    <col min="19" max="19" width="11.85546875" bestFit="1" customWidth="1"/>
    <col min="20" max="20" width="11.7109375" style="11" bestFit="1" customWidth="1"/>
    <col min="21" max="21" width="12.7109375" style="9" bestFit="1" customWidth="1"/>
    <col min="22" max="22" width="17.28515625" style="9" customWidth="1"/>
    <col min="23" max="23" width="19.5703125" style="9" customWidth="1"/>
  </cols>
  <sheetData>
    <row r="1" spans="1:23" ht="15.75" customHeight="1">
      <c r="A1" s="4" t="s">
        <v>87</v>
      </c>
      <c r="B1" s="4" t="s">
        <v>88</v>
      </c>
      <c r="C1" s="4" t="s">
        <v>89</v>
      </c>
      <c r="D1" s="4" t="s">
        <v>90</v>
      </c>
      <c r="E1" s="4" t="s">
        <v>91</v>
      </c>
      <c r="F1" s="4" t="s">
        <v>92</v>
      </c>
      <c r="G1" s="4" t="s">
        <v>93</v>
      </c>
      <c r="H1" s="4" t="s">
        <v>94</v>
      </c>
      <c r="I1" s="4" t="s">
        <v>95</v>
      </c>
      <c r="J1" s="4" t="s">
        <v>96</v>
      </c>
      <c r="K1" s="4" t="s">
        <v>19</v>
      </c>
      <c r="L1" s="4" t="s">
        <v>97</v>
      </c>
      <c r="M1" s="4" t="s">
        <v>98</v>
      </c>
      <c r="N1" s="4" t="s">
        <v>99</v>
      </c>
      <c r="O1" s="4" t="s">
        <v>100</v>
      </c>
      <c r="P1" s="4" t="s">
        <v>34</v>
      </c>
      <c r="Q1" s="4" t="s">
        <v>101</v>
      </c>
      <c r="R1" s="8" t="s">
        <v>102</v>
      </c>
      <c r="S1" s="4" t="s">
        <v>103</v>
      </c>
      <c r="T1" s="10" t="s">
        <v>104</v>
      </c>
      <c r="U1" s="8" t="s">
        <v>105</v>
      </c>
      <c r="V1" s="8" t="s">
        <v>106</v>
      </c>
      <c r="W1" s="8" t="s">
        <v>107</v>
      </c>
    </row>
    <row r="2" spans="1:23" hidden="1">
      <c r="A2">
        <v>1</v>
      </c>
      <c r="B2" t="s">
        <v>108</v>
      </c>
      <c r="C2" s="5">
        <v>42682</v>
      </c>
      <c r="D2" s="5">
        <v>42685</v>
      </c>
      <c r="E2" t="s">
        <v>109</v>
      </c>
      <c r="F2" t="s">
        <v>110</v>
      </c>
      <c r="G2" t="s">
        <v>111</v>
      </c>
      <c r="H2" t="s">
        <v>112</v>
      </c>
      <c r="I2" t="s">
        <v>113</v>
      </c>
      <c r="J2" t="s">
        <v>60</v>
      </c>
      <c r="K2" t="s">
        <v>114</v>
      </c>
      <c r="L2">
        <v>42420</v>
      </c>
      <c r="M2" t="s">
        <v>115</v>
      </c>
      <c r="N2" t="s">
        <v>116</v>
      </c>
      <c r="O2" t="s">
        <v>117</v>
      </c>
      <c r="P2" t="s">
        <v>35</v>
      </c>
      <c r="Q2" t="s">
        <v>118</v>
      </c>
      <c r="R2">
        <v>261.95999999999998</v>
      </c>
      <c r="S2">
        <v>2</v>
      </c>
      <c r="T2" s="11">
        <f t="shared" ref="T2:T65" si="0">IFERROR(IF(S2&gt;=5,VLOOKUP(S2,$X$311:$Y$313,2,TRUE),0),0)</f>
        <v>0</v>
      </c>
      <c r="U2" s="6">
        <v>157.17599999999999</v>
      </c>
      <c r="V2" s="11">
        <f t="shared" ref="V2:V65" si="1">R2*T2</f>
        <v>0</v>
      </c>
      <c r="W2" s="9">
        <f t="shared" ref="W2:W65" si="2">U2/R2</f>
        <v>0.6</v>
      </c>
    </row>
    <row r="3" spans="1:23" hidden="1">
      <c r="A3">
        <v>2</v>
      </c>
      <c r="B3" t="s">
        <v>108</v>
      </c>
      <c r="C3" s="5">
        <v>42682</v>
      </c>
      <c r="D3" s="5">
        <v>42685</v>
      </c>
      <c r="E3" t="s">
        <v>109</v>
      </c>
      <c r="F3" t="s">
        <v>110</v>
      </c>
      <c r="G3" t="s">
        <v>111</v>
      </c>
      <c r="H3" t="s">
        <v>112</v>
      </c>
      <c r="I3" t="s">
        <v>113</v>
      </c>
      <c r="J3" t="s">
        <v>60</v>
      </c>
      <c r="K3" t="s">
        <v>114</v>
      </c>
      <c r="L3">
        <v>42420</v>
      </c>
      <c r="M3" t="s">
        <v>115</v>
      </c>
      <c r="N3" t="s">
        <v>119</v>
      </c>
      <c r="O3" t="s">
        <v>117</v>
      </c>
      <c r="P3" t="s">
        <v>120</v>
      </c>
      <c r="Q3" t="s">
        <v>121</v>
      </c>
      <c r="R3">
        <v>731.93999999999994</v>
      </c>
      <c r="S3">
        <v>3</v>
      </c>
      <c r="T3" s="11">
        <f t="shared" si="0"/>
        <v>0</v>
      </c>
      <c r="U3" s="6">
        <v>658.74599999999987</v>
      </c>
      <c r="V3" s="11">
        <f t="shared" si="1"/>
        <v>0</v>
      </c>
      <c r="W3" s="9">
        <f t="shared" si="2"/>
        <v>0.89999999999999991</v>
      </c>
    </row>
    <row r="4" spans="1:23" hidden="1">
      <c r="A4">
        <v>3</v>
      </c>
      <c r="B4" t="s">
        <v>122</v>
      </c>
      <c r="C4" s="5">
        <v>42533</v>
      </c>
      <c r="D4" s="5">
        <v>42537</v>
      </c>
      <c r="E4" t="s">
        <v>109</v>
      </c>
      <c r="F4" t="s">
        <v>123</v>
      </c>
      <c r="G4" t="s">
        <v>124</v>
      </c>
      <c r="H4" t="s">
        <v>125</v>
      </c>
      <c r="I4" t="s">
        <v>113</v>
      </c>
      <c r="J4" t="s">
        <v>63</v>
      </c>
      <c r="K4" t="s">
        <v>126</v>
      </c>
      <c r="L4">
        <v>90036</v>
      </c>
      <c r="M4" t="s">
        <v>127</v>
      </c>
      <c r="N4" t="s">
        <v>128</v>
      </c>
      <c r="O4" t="s">
        <v>117</v>
      </c>
      <c r="P4" t="s">
        <v>129</v>
      </c>
      <c r="Q4" t="s">
        <v>130</v>
      </c>
      <c r="R4">
        <v>14.62</v>
      </c>
      <c r="S4">
        <v>2</v>
      </c>
      <c r="T4" s="11">
        <f t="shared" si="0"/>
        <v>0</v>
      </c>
      <c r="U4" s="6">
        <v>8.7719999999999985</v>
      </c>
      <c r="V4" s="11">
        <f t="shared" si="1"/>
        <v>0</v>
      </c>
      <c r="W4" s="9">
        <f t="shared" si="2"/>
        <v>0.6</v>
      </c>
    </row>
    <row r="5" spans="1:23" hidden="1">
      <c r="A5">
        <v>4</v>
      </c>
      <c r="B5" t="s">
        <v>131</v>
      </c>
      <c r="C5" s="5">
        <v>42288</v>
      </c>
      <c r="D5" s="5">
        <v>42295</v>
      </c>
      <c r="E5" t="s">
        <v>132</v>
      </c>
      <c r="F5" t="s">
        <v>133</v>
      </c>
      <c r="G5" t="s">
        <v>134</v>
      </c>
      <c r="H5" t="s">
        <v>112</v>
      </c>
      <c r="I5" t="s">
        <v>113</v>
      </c>
      <c r="J5" t="s">
        <v>54</v>
      </c>
      <c r="K5" t="s">
        <v>6</v>
      </c>
      <c r="L5">
        <v>33311</v>
      </c>
      <c r="M5" t="s">
        <v>115</v>
      </c>
      <c r="N5" t="s">
        <v>135</v>
      </c>
      <c r="O5" t="s">
        <v>117</v>
      </c>
      <c r="P5" t="s">
        <v>35</v>
      </c>
      <c r="Q5" t="s">
        <v>136</v>
      </c>
      <c r="R5">
        <v>957.57749999999999</v>
      </c>
      <c r="S5">
        <v>5</v>
      </c>
      <c r="T5" s="11">
        <f t="shared" si="0"/>
        <v>0.05</v>
      </c>
      <c r="U5" s="6">
        <v>1436.3662499999998</v>
      </c>
      <c r="V5" s="11">
        <f t="shared" si="1"/>
        <v>47.878875000000001</v>
      </c>
      <c r="W5" s="9">
        <f t="shared" si="2"/>
        <v>1.4999999999999998</v>
      </c>
    </row>
    <row r="6" spans="1:23" hidden="1">
      <c r="A6">
        <v>5</v>
      </c>
      <c r="B6" t="s">
        <v>131</v>
      </c>
      <c r="C6" s="5">
        <v>42288</v>
      </c>
      <c r="D6" s="5">
        <v>42295</v>
      </c>
      <c r="E6" t="s">
        <v>132</v>
      </c>
      <c r="F6" t="s">
        <v>133</v>
      </c>
      <c r="G6" t="s">
        <v>134</v>
      </c>
      <c r="H6" t="s">
        <v>112</v>
      </c>
      <c r="I6" t="s">
        <v>113</v>
      </c>
      <c r="J6" t="s">
        <v>54</v>
      </c>
      <c r="K6" t="s">
        <v>6</v>
      </c>
      <c r="L6">
        <v>33311</v>
      </c>
      <c r="M6" t="s">
        <v>115</v>
      </c>
      <c r="N6" t="s">
        <v>137</v>
      </c>
      <c r="O6" t="s">
        <v>117</v>
      </c>
      <c r="P6" t="s">
        <v>138</v>
      </c>
      <c r="Q6" t="s">
        <v>139</v>
      </c>
      <c r="R6">
        <v>22.367999999999999</v>
      </c>
      <c r="S6">
        <v>2</v>
      </c>
      <c r="T6" s="11">
        <f t="shared" si="0"/>
        <v>0</v>
      </c>
      <c r="U6" s="6">
        <v>13.420799999999998</v>
      </c>
      <c r="V6" s="11">
        <f t="shared" si="1"/>
        <v>0</v>
      </c>
      <c r="W6" s="9">
        <f t="shared" si="2"/>
        <v>0.6</v>
      </c>
    </row>
    <row r="7" spans="1:23" hidden="1">
      <c r="A7">
        <v>6</v>
      </c>
      <c r="B7" t="s">
        <v>140</v>
      </c>
      <c r="C7" s="5">
        <v>41799</v>
      </c>
      <c r="D7" s="5">
        <v>41804</v>
      </c>
      <c r="E7" t="s">
        <v>132</v>
      </c>
      <c r="F7" t="s">
        <v>141</v>
      </c>
      <c r="G7" t="s">
        <v>142</v>
      </c>
      <c r="H7" t="s">
        <v>112</v>
      </c>
      <c r="I7" t="s">
        <v>113</v>
      </c>
      <c r="J7" t="s">
        <v>63</v>
      </c>
      <c r="K7" t="s">
        <v>126</v>
      </c>
      <c r="L7">
        <v>90032</v>
      </c>
      <c r="M7" t="s">
        <v>127</v>
      </c>
      <c r="N7" t="s">
        <v>143</v>
      </c>
      <c r="O7" t="s">
        <v>117</v>
      </c>
      <c r="P7" t="s">
        <v>144</v>
      </c>
      <c r="Q7" t="s">
        <v>145</v>
      </c>
      <c r="R7">
        <v>48.86</v>
      </c>
      <c r="S7">
        <v>7</v>
      </c>
      <c r="T7" s="11">
        <f t="shared" si="0"/>
        <v>0.05</v>
      </c>
      <c r="U7" s="6">
        <v>102.60599999999999</v>
      </c>
      <c r="V7" s="11">
        <f t="shared" si="1"/>
        <v>2.4430000000000001</v>
      </c>
      <c r="W7" s="9">
        <f t="shared" si="2"/>
        <v>2.1</v>
      </c>
    </row>
    <row r="8" spans="1:23">
      <c r="A8">
        <v>7</v>
      </c>
      <c r="B8" t="s">
        <v>140</v>
      </c>
      <c r="C8" s="5">
        <v>41799</v>
      </c>
      <c r="D8" s="5">
        <v>41804</v>
      </c>
      <c r="E8" t="s">
        <v>132</v>
      </c>
      <c r="F8" t="s">
        <v>141</v>
      </c>
      <c r="G8" t="s">
        <v>142</v>
      </c>
      <c r="H8" t="s">
        <v>112</v>
      </c>
      <c r="I8" t="s">
        <v>113</v>
      </c>
      <c r="J8" t="s">
        <v>63</v>
      </c>
      <c r="K8" t="s">
        <v>126</v>
      </c>
      <c r="L8">
        <v>90032</v>
      </c>
      <c r="M8" t="s">
        <v>127</v>
      </c>
      <c r="N8" t="s">
        <v>146</v>
      </c>
      <c r="O8" t="s">
        <v>117</v>
      </c>
      <c r="P8" t="s">
        <v>35</v>
      </c>
      <c r="Q8" t="s">
        <v>147</v>
      </c>
      <c r="R8" s="9">
        <v>7.28</v>
      </c>
      <c r="S8">
        <v>4</v>
      </c>
      <c r="T8" s="11">
        <f t="shared" si="0"/>
        <v>0</v>
      </c>
      <c r="U8" s="9">
        <v>8.7360000000000007</v>
      </c>
      <c r="V8" s="9">
        <f t="shared" si="1"/>
        <v>0</v>
      </c>
      <c r="W8" s="9">
        <f t="shared" si="2"/>
        <v>1.2</v>
      </c>
    </row>
    <row r="9" spans="1:23">
      <c r="A9">
        <v>8</v>
      </c>
      <c r="B9" t="s">
        <v>140</v>
      </c>
      <c r="C9" s="5">
        <v>41799</v>
      </c>
      <c r="D9" s="5">
        <v>41804</v>
      </c>
      <c r="E9" t="s">
        <v>132</v>
      </c>
      <c r="F9" t="s">
        <v>141</v>
      </c>
      <c r="G9" t="s">
        <v>142</v>
      </c>
      <c r="H9" t="s">
        <v>112</v>
      </c>
      <c r="I9" t="s">
        <v>113</v>
      </c>
      <c r="J9" t="s">
        <v>63</v>
      </c>
      <c r="K9" t="s">
        <v>126</v>
      </c>
      <c r="L9">
        <v>90032</v>
      </c>
      <c r="M9" t="s">
        <v>127</v>
      </c>
      <c r="N9" t="s">
        <v>148</v>
      </c>
      <c r="O9" t="s">
        <v>117</v>
      </c>
      <c r="P9" t="s">
        <v>35</v>
      </c>
      <c r="Q9" t="s">
        <v>149</v>
      </c>
      <c r="R9" s="9">
        <v>907.15200000000004</v>
      </c>
      <c r="S9">
        <v>6</v>
      </c>
      <c r="T9" s="11">
        <f t="shared" si="0"/>
        <v>0.05</v>
      </c>
      <c r="U9" s="9">
        <v>1632.8736000000001</v>
      </c>
      <c r="V9" s="9">
        <f t="shared" si="1"/>
        <v>45.357600000000005</v>
      </c>
      <c r="W9" s="9">
        <f t="shared" si="2"/>
        <v>1.8</v>
      </c>
    </row>
    <row r="10" spans="1:23" hidden="1">
      <c r="A10">
        <v>9</v>
      </c>
      <c r="B10" t="s">
        <v>140</v>
      </c>
      <c r="C10" s="5">
        <v>41799</v>
      </c>
      <c r="D10" s="5">
        <v>41804</v>
      </c>
      <c r="E10" t="s">
        <v>132</v>
      </c>
      <c r="F10" t="s">
        <v>141</v>
      </c>
      <c r="G10" t="s">
        <v>142</v>
      </c>
      <c r="H10" t="s">
        <v>112</v>
      </c>
      <c r="I10" t="s">
        <v>113</v>
      </c>
      <c r="J10" t="s">
        <v>63</v>
      </c>
      <c r="K10" t="s">
        <v>126</v>
      </c>
      <c r="L10">
        <v>90032</v>
      </c>
      <c r="M10" t="s">
        <v>127</v>
      </c>
      <c r="N10" t="s">
        <v>150</v>
      </c>
      <c r="O10" t="s">
        <v>117</v>
      </c>
      <c r="P10" t="s">
        <v>129</v>
      </c>
      <c r="Q10" t="s">
        <v>151</v>
      </c>
      <c r="R10">
        <v>18.504000000000001</v>
      </c>
      <c r="S10">
        <v>3</v>
      </c>
      <c r="T10" s="11">
        <f t="shared" si="0"/>
        <v>0</v>
      </c>
      <c r="U10" s="6">
        <v>16.653600000000001</v>
      </c>
      <c r="V10" s="11">
        <f t="shared" si="1"/>
        <v>0</v>
      </c>
      <c r="W10" s="9">
        <f t="shared" si="2"/>
        <v>0.9</v>
      </c>
    </row>
    <row r="11" spans="1:23" hidden="1">
      <c r="A11">
        <v>10</v>
      </c>
      <c r="B11" t="s">
        <v>140</v>
      </c>
      <c r="C11" s="5">
        <v>41799</v>
      </c>
      <c r="D11" s="5">
        <v>41804</v>
      </c>
      <c r="E11" t="s">
        <v>132</v>
      </c>
      <c r="F11" t="s">
        <v>141</v>
      </c>
      <c r="G11" t="s">
        <v>142</v>
      </c>
      <c r="H11" t="s">
        <v>112</v>
      </c>
      <c r="I11" t="s">
        <v>113</v>
      </c>
      <c r="J11" t="s">
        <v>63</v>
      </c>
      <c r="K11" t="s">
        <v>126</v>
      </c>
      <c r="L11">
        <v>90032</v>
      </c>
      <c r="M11" t="s">
        <v>127</v>
      </c>
      <c r="N11" t="s">
        <v>152</v>
      </c>
      <c r="O11" t="s">
        <v>117</v>
      </c>
      <c r="P11" t="s">
        <v>153</v>
      </c>
      <c r="Q11" t="s">
        <v>154</v>
      </c>
      <c r="R11">
        <v>114.9</v>
      </c>
      <c r="S11">
        <v>5</v>
      </c>
      <c r="T11" s="11">
        <f t="shared" si="0"/>
        <v>0.05</v>
      </c>
      <c r="U11" s="6">
        <v>172.35</v>
      </c>
      <c r="V11" s="11">
        <f t="shared" si="1"/>
        <v>5.745000000000001</v>
      </c>
      <c r="W11" s="9">
        <f t="shared" si="2"/>
        <v>1.4999999999999998</v>
      </c>
    </row>
    <row r="12" spans="1:23" hidden="1">
      <c r="A12">
        <v>11</v>
      </c>
      <c r="B12" t="s">
        <v>140</v>
      </c>
      <c r="C12" s="5">
        <v>41799</v>
      </c>
      <c r="D12" s="5">
        <v>41804</v>
      </c>
      <c r="E12" t="s">
        <v>132</v>
      </c>
      <c r="F12" t="s">
        <v>141</v>
      </c>
      <c r="G12" t="s">
        <v>142</v>
      </c>
      <c r="H12" t="s">
        <v>112</v>
      </c>
      <c r="I12" t="s">
        <v>113</v>
      </c>
      <c r="J12" t="s">
        <v>63</v>
      </c>
      <c r="K12" t="s">
        <v>126</v>
      </c>
      <c r="L12">
        <v>90032</v>
      </c>
      <c r="M12" t="s">
        <v>127</v>
      </c>
      <c r="N12" t="s">
        <v>155</v>
      </c>
      <c r="O12" t="s">
        <v>117</v>
      </c>
      <c r="P12" t="s">
        <v>144</v>
      </c>
      <c r="Q12" t="s">
        <v>156</v>
      </c>
      <c r="R12">
        <v>1706.184</v>
      </c>
      <c r="S12">
        <v>9</v>
      </c>
      <c r="T12" s="11">
        <f t="shared" si="0"/>
        <v>0.05</v>
      </c>
      <c r="U12" s="6">
        <v>4606.6967999999997</v>
      </c>
      <c r="V12" s="11">
        <f t="shared" si="1"/>
        <v>85.309200000000004</v>
      </c>
      <c r="W12" s="9">
        <f t="shared" si="2"/>
        <v>2.6999999999999997</v>
      </c>
    </row>
    <row r="13" spans="1:23" hidden="1">
      <c r="A13">
        <v>12</v>
      </c>
      <c r="B13" t="s">
        <v>140</v>
      </c>
      <c r="C13" s="5">
        <v>41799</v>
      </c>
      <c r="D13" s="5">
        <v>41804</v>
      </c>
      <c r="E13" t="s">
        <v>132</v>
      </c>
      <c r="F13" t="s">
        <v>141</v>
      </c>
      <c r="G13" t="s">
        <v>142</v>
      </c>
      <c r="H13" t="s">
        <v>112</v>
      </c>
      <c r="I13" t="s">
        <v>113</v>
      </c>
      <c r="J13" t="s">
        <v>63</v>
      </c>
      <c r="K13" t="s">
        <v>126</v>
      </c>
      <c r="L13">
        <v>90032</v>
      </c>
      <c r="M13" t="s">
        <v>127</v>
      </c>
      <c r="N13" t="s">
        <v>157</v>
      </c>
      <c r="O13" t="s">
        <v>117</v>
      </c>
      <c r="P13" t="s">
        <v>158</v>
      </c>
      <c r="Q13" t="s">
        <v>159</v>
      </c>
      <c r="R13">
        <v>911.42399999999998</v>
      </c>
      <c r="S13">
        <v>4</v>
      </c>
      <c r="T13" s="11">
        <f t="shared" si="0"/>
        <v>0</v>
      </c>
      <c r="U13" s="6">
        <v>1093.7087999999999</v>
      </c>
      <c r="V13" s="11">
        <f t="shared" si="1"/>
        <v>0</v>
      </c>
      <c r="W13" s="9">
        <f t="shared" si="2"/>
        <v>1.2</v>
      </c>
    </row>
    <row r="14" spans="1:23" hidden="1">
      <c r="A14">
        <v>13</v>
      </c>
      <c r="B14" t="s">
        <v>160</v>
      </c>
      <c r="C14" s="5">
        <v>42840</v>
      </c>
      <c r="D14" s="5">
        <v>42845</v>
      </c>
      <c r="E14" t="s">
        <v>132</v>
      </c>
      <c r="F14" t="s">
        <v>161</v>
      </c>
      <c r="G14" t="s">
        <v>162</v>
      </c>
      <c r="H14" t="s">
        <v>112</v>
      </c>
      <c r="I14" t="s">
        <v>113</v>
      </c>
      <c r="J14" t="s">
        <v>48</v>
      </c>
      <c r="K14" t="s">
        <v>163</v>
      </c>
      <c r="L14">
        <v>28027</v>
      </c>
      <c r="M14" t="s">
        <v>115</v>
      </c>
      <c r="N14" t="s">
        <v>164</v>
      </c>
      <c r="O14" t="s">
        <v>117</v>
      </c>
      <c r="P14" t="s">
        <v>35</v>
      </c>
      <c r="Q14" t="s">
        <v>118</v>
      </c>
      <c r="R14">
        <v>15.552</v>
      </c>
      <c r="S14">
        <v>3</v>
      </c>
      <c r="T14" s="11">
        <f t="shared" si="0"/>
        <v>0</v>
      </c>
      <c r="U14" s="6">
        <v>13.996799999999999</v>
      </c>
      <c r="V14" s="11">
        <f t="shared" si="1"/>
        <v>0</v>
      </c>
      <c r="W14" s="9">
        <f t="shared" si="2"/>
        <v>0.89999999999999991</v>
      </c>
    </row>
    <row r="15" spans="1:23" hidden="1">
      <c r="A15">
        <v>14</v>
      </c>
      <c r="B15" t="s">
        <v>165</v>
      </c>
      <c r="C15" s="5">
        <v>42709</v>
      </c>
      <c r="D15" s="5">
        <v>42714</v>
      </c>
      <c r="E15" t="s">
        <v>132</v>
      </c>
      <c r="F15" t="s">
        <v>166</v>
      </c>
      <c r="G15" t="s">
        <v>167</v>
      </c>
      <c r="H15" t="s">
        <v>112</v>
      </c>
      <c r="I15" t="s">
        <v>113</v>
      </c>
      <c r="J15" t="s">
        <v>81</v>
      </c>
      <c r="K15" t="s">
        <v>168</v>
      </c>
      <c r="L15">
        <v>98103</v>
      </c>
      <c r="M15" t="s">
        <v>127</v>
      </c>
      <c r="N15" t="s">
        <v>169</v>
      </c>
      <c r="O15" t="s">
        <v>117</v>
      </c>
      <c r="P15" t="s">
        <v>120</v>
      </c>
      <c r="Q15" t="s">
        <v>121</v>
      </c>
      <c r="R15">
        <v>407.97600000000011</v>
      </c>
      <c r="S15">
        <v>3</v>
      </c>
      <c r="T15" s="11">
        <f t="shared" si="0"/>
        <v>0</v>
      </c>
      <c r="U15" s="6">
        <v>367.17840000000007</v>
      </c>
      <c r="V15" s="11">
        <f t="shared" si="1"/>
        <v>0</v>
      </c>
      <c r="W15" s="9">
        <f t="shared" si="2"/>
        <v>0.89999999999999991</v>
      </c>
    </row>
    <row r="16" spans="1:23" hidden="1">
      <c r="A16">
        <v>15</v>
      </c>
      <c r="B16" t="s">
        <v>170</v>
      </c>
      <c r="C16" s="5">
        <v>42330</v>
      </c>
      <c r="D16" s="5">
        <v>42334</v>
      </c>
      <c r="E16" t="s">
        <v>132</v>
      </c>
      <c r="F16" t="s">
        <v>171</v>
      </c>
      <c r="G16" t="s">
        <v>172</v>
      </c>
      <c r="H16" t="s">
        <v>173</v>
      </c>
      <c r="I16" t="s">
        <v>113</v>
      </c>
      <c r="J16" t="s">
        <v>55</v>
      </c>
      <c r="K16" t="s">
        <v>1</v>
      </c>
      <c r="L16">
        <v>76106</v>
      </c>
      <c r="M16" t="s">
        <v>174</v>
      </c>
      <c r="N16" t="s">
        <v>175</v>
      </c>
      <c r="O16" t="s">
        <v>117</v>
      </c>
      <c r="P16" t="s">
        <v>129</v>
      </c>
      <c r="Q16" t="s">
        <v>130</v>
      </c>
      <c r="R16">
        <v>68.809999999999988</v>
      </c>
      <c r="S16">
        <v>5</v>
      </c>
      <c r="T16" s="11">
        <f t="shared" si="0"/>
        <v>0.05</v>
      </c>
      <c r="U16" s="6">
        <v>103.21499999999999</v>
      </c>
      <c r="V16" s="11">
        <f t="shared" si="1"/>
        <v>3.4404999999999997</v>
      </c>
      <c r="W16" s="9">
        <f t="shared" si="2"/>
        <v>1.5</v>
      </c>
    </row>
    <row r="17" spans="1:23" hidden="1">
      <c r="A17">
        <v>16</v>
      </c>
      <c r="B17" t="s">
        <v>170</v>
      </c>
      <c r="C17" s="5">
        <v>42330</v>
      </c>
      <c r="D17" s="5">
        <v>42334</v>
      </c>
      <c r="E17" t="s">
        <v>132</v>
      </c>
      <c r="F17" t="s">
        <v>171</v>
      </c>
      <c r="G17" t="s">
        <v>172</v>
      </c>
      <c r="H17" t="s">
        <v>173</v>
      </c>
      <c r="I17" t="s">
        <v>113</v>
      </c>
      <c r="J17" t="s">
        <v>55</v>
      </c>
      <c r="K17" t="s">
        <v>1</v>
      </c>
      <c r="L17">
        <v>76106</v>
      </c>
      <c r="M17" t="s">
        <v>174</v>
      </c>
      <c r="N17" t="s">
        <v>176</v>
      </c>
      <c r="O17" t="s">
        <v>117</v>
      </c>
      <c r="P17" t="s">
        <v>35</v>
      </c>
      <c r="Q17" t="s">
        <v>136</v>
      </c>
      <c r="R17">
        <v>2.544</v>
      </c>
      <c r="S17">
        <v>3</v>
      </c>
      <c r="T17" s="11">
        <f t="shared" si="0"/>
        <v>0</v>
      </c>
      <c r="U17" s="6">
        <v>2.2895999999999996</v>
      </c>
      <c r="V17" s="11">
        <f t="shared" si="1"/>
        <v>0</v>
      </c>
      <c r="W17" s="9">
        <f t="shared" si="2"/>
        <v>0.8999999999999998</v>
      </c>
    </row>
    <row r="18" spans="1:23" hidden="1">
      <c r="A18">
        <v>17</v>
      </c>
      <c r="B18" t="s">
        <v>177</v>
      </c>
      <c r="C18" s="5">
        <v>41954</v>
      </c>
      <c r="D18" s="5">
        <v>41961</v>
      </c>
      <c r="E18" t="s">
        <v>132</v>
      </c>
      <c r="F18" t="s">
        <v>178</v>
      </c>
      <c r="G18" t="s">
        <v>179</v>
      </c>
      <c r="H18" t="s">
        <v>112</v>
      </c>
      <c r="I18" t="s">
        <v>113</v>
      </c>
      <c r="J18" t="s">
        <v>180</v>
      </c>
      <c r="K18" t="s">
        <v>181</v>
      </c>
      <c r="L18">
        <v>53711</v>
      </c>
      <c r="M18" t="s">
        <v>174</v>
      </c>
      <c r="N18" t="s">
        <v>182</v>
      </c>
      <c r="O18" t="s">
        <v>117</v>
      </c>
      <c r="P18" t="s">
        <v>138</v>
      </c>
      <c r="Q18" t="s">
        <v>139</v>
      </c>
      <c r="R18">
        <v>665.88</v>
      </c>
      <c r="S18">
        <v>6</v>
      </c>
      <c r="T18" s="11">
        <f t="shared" si="0"/>
        <v>0.05</v>
      </c>
      <c r="U18" s="6">
        <v>1198.5839999999998</v>
      </c>
      <c r="V18" s="11">
        <f t="shared" si="1"/>
        <v>33.294000000000004</v>
      </c>
      <c r="W18" s="9">
        <f t="shared" si="2"/>
        <v>1.7999999999999998</v>
      </c>
    </row>
    <row r="19" spans="1:23" hidden="1">
      <c r="A19">
        <v>18</v>
      </c>
      <c r="B19" t="s">
        <v>183</v>
      </c>
      <c r="C19" s="5">
        <v>41772</v>
      </c>
      <c r="D19" s="5">
        <v>41774</v>
      </c>
      <c r="E19" t="s">
        <v>109</v>
      </c>
      <c r="F19" t="s">
        <v>184</v>
      </c>
      <c r="G19" t="s">
        <v>185</v>
      </c>
      <c r="H19" t="s">
        <v>112</v>
      </c>
      <c r="I19" t="s">
        <v>113</v>
      </c>
      <c r="J19" t="s">
        <v>186</v>
      </c>
      <c r="K19" t="s">
        <v>187</v>
      </c>
      <c r="L19">
        <v>84084</v>
      </c>
      <c r="M19" t="s">
        <v>127</v>
      </c>
      <c r="N19" t="s">
        <v>188</v>
      </c>
      <c r="O19" t="s">
        <v>117</v>
      </c>
      <c r="P19" t="s">
        <v>144</v>
      </c>
      <c r="Q19" t="s">
        <v>145</v>
      </c>
      <c r="R19">
        <v>55.5</v>
      </c>
      <c r="S19">
        <v>2</v>
      </c>
      <c r="T19" s="11">
        <f t="shared" si="0"/>
        <v>0</v>
      </c>
      <c r="U19" s="6">
        <v>33.299999999999997</v>
      </c>
      <c r="V19" s="11">
        <f t="shared" si="1"/>
        <v>0</v>
      </c>
      <c r="W19" s="9">
        <f t="shared" si="2"/>
        <v>0.6</v>
      </c>
    </row>
    <row r="20" spans="1:23">
      <c r="A20">
        <v>19</v>
      </c>
      <c r="B20" t="s">
        <v>189</v>
      </c>
      <c r="C20" s="5">
        <v>41878</v>
      </c>
      <c r="D20" s="5">
        <v>41883</v>
      </c>
      <c r="E20" t="s">
        <v>109</v>
      </c>
      <c r="F20" t="s">
        <v>190</v>
      </c>
      <c r="G20" t="s">
        <v>191</v>
      </c>
      <c r="H20" t="s">
        <v>112</v>
      </c>
      <c r="I20" t="s">
        <v>113</v>
      </c>
      <c r="J20" t="s">
        <v>79</v>
      </c>
      <c r="K20" t="s">
        <v>126</v>
      </c>
      <c r="L20">
        <v>94109</v>
      </c>
      <c r="M20" t="s">
        <v>127</v>
      </c>
      <c r="N20" t="s">
        <v>192</v>
      </c>
      <c r="O20" t="s">
        <v>117</v>
      </c>
      <c r="P20" t="s">
        <v>35</v>
      </c>
      <c r="Q20" t="s">
        <v>147</v>
      </c>
      <c r="R20" s="9">
        <v>8.56</v>
      </c>
      <c r="S20">
        <v>2</v>
      </c>
      <c r="T20" s="11">
        <f t="shared" si="0"/>
        <v>0</v>
      </c>
      <c r="U20" s="9">
        <v>5.1360000000000001</v>
      </c>
      <c r="V20" s="9">
        <f t="shared" si="1"/>
        <v>0</v>
      </c>
      <c r="W20" s="9">
        <f t="shared" si="2"/>
        <v>0.6</v>
      </c>
    </row>
    <row r="21" spans="1:23">
      <c r="A21">
        <v>20</v>
      </c>
      <c r="B21" t="s">
        <v>189</v>
      </c>
      <c r="C21" s="5">
        <v>41878</v>
      </c>
      <c r="D21" s="5">
        <v>41883</v>
      </c>
      <c r="E21" t="s">
        <v>109</v>
      </c>
      <c r="F21" t="s">
        <v>190</v>
      </c>
      <c r="G21" t="s">
        <v>191</v>
      </c>
      <c r="H21" t="s">
        <v>112</v>
      </c>
      <c r="I21" t="s">
        <v>113</v>
      </c>
      <c r="J21" t="s">
        <v>79</v>
      </c>
      <c r="K21" t="s">
        <v>126</v>
      </c>
      <c r="L21">
        <v>94109</v>
      </c>
      <c r="M21" t="s">
        <v>127</v>
      </c>
      <c r="N21" t="s">
        <v>193</v>
      </c>
      <c r="O21" t="s">
        <v>117</v>
      </c>
      <c r="P21" t="s">
        <v>35</v>
      </c>
      <c r="Q21" t="s">
        <v>149</v>
      </c>
      <c r="R21" s="9">
        <v>213.48</v>
      </c>
      <c r="S21">
        <v>3</v>
      </c>
      <c r="T21" s="11">
        <f t="shared" si="0"/>
        <v>0</v>
      </c>
      <c r="U21" s="9">
        <v>192.13199999999998</v>
      </c>
      <c r="V21" s="9">
        <f t="shared" si="1"/>
        <v>0</v>
      </c>
      <c r="W21" s="9">
        <f t="shared" si="2"/>
        <v>0.89999999999999991</v>
      </c>
    </row>
    <row r="22" spans="1:23" hidden="1">
      <c r="A22">
        <v>21</v>
      </c>
      <c r="B22" t="s">
        <v>189</v>
      </c>
      <c r="C22" s="5">
        <v>41878</v>
      </c>
      <c r="D22" s="5">
        <v>41883</v>
      </c>
      <c r="E22" t="s">
        <v>109</v>
      </c>
      <c r="F22" t="s">
        <v>190</v>
      </c>
      <c r="G22" t="s">
        <v>191</v>
      </c>
      <c r="H22" t="s">
        <v>112</v>
      </c>
      <c r="I22" t="s">
        <v>113</v>
      </c>
      <c r="J22" t="s">
        <v>79</v>
      </c>
      <c r="K22" t="s">
        <v>126</v>
      </c>
      <c r="L22">
        <v>94109</v>
      </c>
      <c r="M22" t="s">
        <v>127</v>
      </c>
      <c r="N22" t="s">
        <v>194</v>
      </c>
      <c r="O22" t="s">
        <v>117</v>
      </c>
      <c r="P22" t="s">
        <v>129</v>
      </c>
      <c r="Q22" t="s">
        <v>151</v>
      </c>
      <c r="R22">
        <v>22.72</v>
      </c>
      <c r="S22">
        <v>4</v>
      </c>
      <c r="T22" s="11">
        <f t="shared" si="0"/>
        <v>0</v>
      </c>
      <c r="U22" s="6">
        <v>27.263999999999999</v>
      </c>
      <c r="V22" s="11">
        <f t="shared" si="1"/>
        <v>0</v>
      </c>
      <c r="W22" s="9">
        <f t="shared" si="2"/>
        <v>1.2</v>
      </c>
    </row>
    <row r="23" spans="1:23" hidden="1">
      <c r="A23">
        <v>22</v>
      </c>
      <c r="B23" t="s">
        <v>195</v>
      </c>
      <c r="C23" s="5">
        <v>42713</v>
      </c>
      <c r="D23" s="5">
        <v>42717</v>
      </c>
      <c r="E23" t="s">
        <v>132</v>
      </c>
      <c r="F23" t="s">
        <v>196</v>
      </c>
      <c r="G23" t="s">
        <v>197</v>
      </c>
      <c r="H23" t="s">
        <v>125</v>
      </c>
      <c r="I23" t="s">
        <v>113</v>
      </c>
      <c r="J23" t="s">
        <v>198</v>
      </c>
      <c r="K23" t="s">
        <v>199</v>
      </c>
      <c r="L23">
        <v>68025</v>
      </c>
      <c r="M23" t="s">
        <v>174</v>
      </c>
      <c r="N23" t="s">
        <v>200</v>
      </c>
      <c r="O23" t="s">
        <v>117</v>
      </c>
      <c r="P23" t="s">
        <v>153</v>
      </c>
      <c r="Q23" t="s">
        <v>154</v>
      </c>
      <c r="R23">
        <v>19.46</v>
      </c>
      <c r="S23">
        <v>7</v>
      </c>
      <c r="T23" s="11">
        <f t="shared" si="0"/>
        <v>0.05</v>
      </c>
      <c r="U23" s="6">
        <v>40.866</v>
      </c>
      <c r="V23" s="11">
        <f t="shared" si="1"/>
        <v>0.97300000000000009</v>
      </c>
      <c r="W23" s="9">
        <f t="shared" si="2"/>
        <v>2.1</v>
      </c>
    </row>
    <row r="24" spans="1:23" hidden="1">
      <c r="A24">
        <v>23</v>
      </c>
      <c r="B24" t="s">
        <v>195</v>
      </c>
      <c r="C24" s="5">
        <v>42713</v>
      </c>
      <c r="D24" s="5">
        <v>42717</v>
      </c>
      <c r="E24" t="s">
        <v>132</v>
      </c>
      <c r="F24" t="s">
        <v>196</v>
      </c>
      <c r="G24" t="s">
        <v>197</v>
      </c>
      <c r="H24" t="s">
        <v>125</v>
      </c>
      <c r="I24" t="s">
        <v>113</v>
      </c>
      <c r="J24" t="s">
        <v>198</v>
      </c>
      <c r="K24" t="s">
        <v>199</v>
      </c>
      <c r="L24">
        <v>68025</v>
      </c>
      <c r="M24" t="s">
        <v>174</v>
      </c>
      <c r="N24" t="s">
        <v>201</v>
      </c>
      <c r="O24" t="s">
        <v>117</v>
      </c>
      <c r="P24" t="s">
        <v>144</v>
      </c>
      <c r="Q24" t="s">
        <v>156</v>
      </c>
      <c r="R24">
        <v>60.34</v>
      </c>
      <c r="S24">
        <v>7</v>
      </c>
      <c r="T24" s="11">
        <f t="shared" si="0"/>
        <v>0.05</v>
      </c>
      <c r="U24" s="6">
        <v>126.714</v>
      </c>
      <c r="V24" s="11">
        <f t="shared" si="1"/>
        <v>3.0170000000000003</v>
      </c>
      <c r="W24" s="9">
        <f t="shared" si="2"/>
        <v>2.0999999999999996</v>
      </c>
    </row>
    <row r="25" spans="1:23" hidden="1">
      <c r="A25">
        <v>24</v>
      </c>
      <c r="B25" t="s">
        <v>202</v>
      </c>
      <c r="C25" s="5">
        <v>42932</v>
      </c>
      <c r="D25" s="5">
        <v>42934</v>
      </c>
      <c r="E25" t="s">
        <v>109</v>
      </c>
      <c r="F25" t="s">
        <v>203</v>
      </c>
      <c r="G25" t="s">
        <v>204</v>
      </c>
      <c r="H25" t="s">
        <v>112</v>
      </c>
      <c r="I25" t="s">
        <v>113</v>
      </c>
      <c r="J25" t="s">
        <v>71</v>
      </c>
      <c r="K25" t="s">
        <v>205</v>
      </c>
      <c r="L25">
        <v>19140</v>
      </c>
      <c r="M25" t="s">
        <v>206</v>
      </c>
      <c r="N25" t="s">
        <v>207</v>
      </c>
      <c r="O25" t="s">
        <v>117</v>
      </c>
      <c r="P25" t="s">
        <v>158</v>
      </c>
      <c r="Q25" t="s">
        <v>159</v>
      </c>
      <c r="R25">
        <v>71.371999999999986</v>
      </c>
      <c r="S25">
        <v>2</v>
      </c>
      <c r="T25" s="11">
        <f t="shared" si="0"/>
        <v>0</v>
      </c>
      <c r="U25" s="6">
        <v>42.823199999999993</v>
      </c>
      <c r="V25" s="11">
        <f t="shared" si="1"/>
        <v>0</v>
      </c>
      <c r="W25" s="9">
        <f t="shared" si="2"/>
        <v>0.6</v>
      </c>
    </row>
    <row r="26" spans="1:23" hidden="1">
      <c r="A26">
        <v>25</v>
      </c>
      <c r="B26" t="s">
        <v>208</v>
      </c>
      <c r="C26" s="5">
        <v>42272</v>
      </c>
      <c r="D26" s="5">
        <v>42277</v>
      </c>
      <c r="E26" t="s">
        <v>132</v>
      </c>
      <c r="F26" t="s">
        <v>209</v>
      </c>
      <c r="G26" t="s">
        <v>210</v>
      </c>
      <c r="H26" t="s">
        <v>112</v>
      </c>
      <c r="I26" t="s">
        <v>113</v>
      </c>
      <c r="J26" t="s">
        <v>70</v>
      </c>
      <c r="K26" t="s">
        <v>187</v>
      </c>
      <c r="L26">
        <v>84057</v>
      </c>
      <c r="M26" t="s">
        <v>127</v>
      </c>
      <c r="N26" t="s">
        <v>135</v>
      </c>
      <c r="O26" t="s">
        <v>117</v>
      </c>
      <c r="P26" t="s">
        <v>35</v>
      </c>
      <c r="Q26" t="s">
        <v>118</v>
      </c>
      <c r="R26">
        <v>1044.6300000000001</v>
      </c>
      <c r="S26">
        <v>3</v>
      </c>
      <c r="T26" s="11">
        <f t="shared" si="0"/>
        <v>0</v>
      </c>
      <c r="U26" s="6">
        <v>940.16700000000003</v>
      </c>
      <c r="V26" s="11">
        <f t="shared" si="1"/>
        <v>0</v>
      </c>
      <c r="W26" s="9">
        <f t="shared" si="2"/>
        <v>0.89999999999999991</v>
      </c>
    </row>
    <row r="27" spans="1:23" hidden="1">
      <c r="A27">
        <v>26</v>
      </c>
      <c r="B27" t="s">
        <v>211</v>
      </c>
      <c r="C27" s="5">
        <v>42385</v>
      </c>
      <c r="D27" s="5">
        <v>42389</v>
      </c>
      <c r="E27" t="s">
        <v>109</v>
      </c>
      <c r="F27" t="s">
        <v>212</v>
      </c>
      <c r="G27" t="s">
        <v>213</v>
      </c>
      <c r="H27" t="s">
        <v>112</v>
      </c>
      <c r="I27" t="s">
        <v>113</v>
      </c>
      <c r="J27" t="s">
        <v>63</v>
      </c>
      <c r="K27" t="s">
        <v>126</v>
      </c>
      <c r="L27">
        <v>90049</v>
      </c>
      <c r="M27" t="s">
        <v>127</v>
      </c>
      <c r="N27" t="s">
        <v>214</v>
      </c>
      <c r="O27" t="s">
        <v>117</v>
      </c>
      <c r="P27" t="s">
        <v>120</v>
      </c>
      <c r="Q27" t="s">
        <v>121</v>
      </c>
      <c r="R27">
        <v>11.648</v>
      </c>
      <c r="S27">
        <v>2</v>
      </c>
      <c r="T27" s="11">
        <f t="shared" si="0"/>
        <v>0</v>
      </c>
      <c r="U27" s="6">
        <v>6.9887999999999995</v>
      </c>
      <c r="V27" s="11">
        <f t="shared" si="1"/>
        <v>0</v>
      </c>
      <c r="W27" s="9">
        <f t="shared" si="2"/>
        <v>0.6</v>
      </c>
    </row>
    <row r="28" spans="1:23" hidden="1">
      <c r="A28">
        <v>27</v>
      </c>
      <c r="B28" t="s">
        <v>211</v>
      </c>
      <c r="C28" s="5">
        <v>42385</v>
      </c>
      <c r="D28" s="5">
        <v>42389</v>
      </c>
      <c r="E28" t="s">
        <v>109</v>
      </c>
      <c r="F28" t="s">
        <v>212</v>
      </c>
      <c r="G28" t="s">
        <v>213</v>
      </c>
      <c r="H28" t="s">
        <v>112</v>
      </c>
      <c r="I28" t="s">
        <v>113</v>
      </c>
      <c r="J28" t="s">
        <v>63</v>
      </c>
      <c r="K28" t="s">
        <v>126</v>
      </c>
      <c r="L28">
        <v>90049</v>
      </c>
      <c r="M28" t="s">
        <v>127</v>
      </c>
      <c r="N28" t="s">
        <v>215</v>
      </c>
      <c r="O28" t="s">
        <v>117</v>
      </c>
      <c r="P28" t="s">
        <v>129</v>
      </c>
      <c r="Q28" t="s">
        <v>130</v>
      </c>
      <c r="R28">
        <v>90.570000000000007</v>
      </c>
      <c r="S28">
        <v>3</v>
      </c>
      <c r="T28" s="11">
        <f t="shared" si="0"/>
        <v>0</v>
      </c>
      <c r="U28" s="6">
        <v>81.513000000000005</v>
      </c>
      <c r="V28" s="11">
        <f t="shared" si="1"/>
        <v>0</v>
      </c>
      <c r="W28" s="9">
        <f t="shared" si="2"/>
        <v>0.9</v>
      </c>
    </row>
    <row r="29" spans="1:23" hidden="1">
      <c r="A29">
        <v>28</v>
      </c>
      <c r="B29" t="s">
        <v>216</v>
      </c>
      <c r="C29" s="5">
        <v>42264</v>
      </c>
      <c r="D29" s="5">
        <v>42268</v>
      </c>
      <c r="E29" t="s">
        <v>132</v>
      </c>
      <c r="F29" t="s">
        <v>217</v>
      </c>
      <c r="G29" t="s">
        <v>218</v>
      </c>
      <c r="H29" t="s">
        <v>112</v>
      </c>
      <c r="I29" t="s">
        <v>113</v>
      </c>
      <c r="J29" t="s">
        <v>71</v>
      </c>
      <c r="K29" t="s">
        <v>205</v>
      </c>
      <c r="L29">
        <v>19140</v>
      </c>
      <c r="M29" t="s">
        <v>206</v>
      </c>
      <c r="N29" t="s">
        <v>219</v>
      </c>
      <c r="O29" t="s">
        <v>117</v>
      </c>
      <c r="P29" t="s">
        <v>35</v>
      </c>
      <c r="Q29" t="s">
        <v>136</v>
      </c>
      <c r="R29">
        <v>3083.43</v>
      </c>
      <c r="S29">
        <v>7</v>
      </c>
      <c r="T29" s="11">
        <f t="shared" si="0"/>
        <v>0.05</v>
      </c>
      <c r="U29" s="6">
        <v>6475.2029999999995</v>
      </c>
      <c r="V29" s="11">
        <f t="shared" si="1"/>
        <v>154.17150000000001</v>
      </c>
      <c r="W29" s="9">
        <f t="shared" si="2"/>
        <v>2.1</v>
      </c>
    </row>
    <row r="30" spans="1:23" hidden="1">
      <c r="A30">
        <v>29</v>
      </c>
      <c r="B30" t="s">
        <v>216</v>
      </c>
      <c r="C30" s="5">
        <v>42264</v>
      </c>
      <c r="D30" s="5">
        <v>42268</v>
      </c>
      <c r="E30" t="s">
        <v>132</v>
      </c>
      <c r="F30" t="s">
        <v>217</v>
      </c>
      <c r="G30" t="s">
        <v>218</v>
      </c>
      <c r="H30" t="s">
        <v>112</v>
      </c>
      <c r="I30" t="s">
        <v>113</v>
      </c>
      <c r="J30" t="s">
        <v>71</v>
      </c>
      <c r="K30" t="s">
        <v>205</v>
      </c>
      <c r="L30">
        <v>19140</v>
      </c>
      <c r="M30" t="s">
        <v>206</v>
      </c>
      <c r="N30" t="s">
        <v>220</v>
      </c>
      <c r="O30" t="s">
        <v>117</v>
      </c>
      <c r="P30" t="s">
        <v>138</v>
      </c>
      <c r="Q30" t="s">
        <v>139</v>
      </c>
      <c r="R30">
        <v>9.6180000000000021</v>
      </c>
      <c r="S30">
        <v>2</v>
      </c>
      <c r="T30" s="11">
        <f t="shared" si="0"/>
        <v>0</v>
      </c>
      <c r="U30" s="6">
        <v>5.7708000000000013</v>
      </c>
      <c r="V30" s="11">
        <f t="shared" si="1"/>
        <v>0</v>
      </c>
      <c r="W30" s="9">
        <f t="shared" si="2"/>
        <v>0.6</v>
      </c>
    </row>
    <row r="31" spans="1:23" hidden="1">
      <c r="A31">
        <v>30</v>
      </c>
      <c r="B31" t="s">
        <v>216</v>
      </c>
      <c r="C31" s="5">
        <v>42264</v>
      </c>
      <c r="D31" s="5">
        <v>42268</v>
      </c>
      <c r="E31" t="s">
        <v>132</v>
      </c>
      <c r="F31" t="s">
        <v>217</v>
      </c>
      <c r="G31" t="s">
        <v>218</v>
      </c>
      <c r="H31" t="s">
        <v>112</v>
      </c>
      <c r="I31" t="s">
        <v>113</v>
      </c>
      <c r="J31" t="s">
        <v>71</v>
      </c>
      <c r="K31" t="s">
        <v>205</v>
      </c>
      <c r="L31">
        <v>19140</v>
      </c>
      <c r="M31" t="s">
        <v>206</v>
      </c>
      <c r="N31" t="s">
        <v>221</v>
      </c>
      <c r="O31" t="s">
        <v>117</v>
      </c>
      <c r="P31" t="s">
        <v>144</v>
      </c>
      <c r="Q31" t="s">
        <v>145</v>
      </c>
      <c r="R31">
        <v>124.2</v>
      </c>
      <c r="S31">
        <v>3</v>
      </c>
      <c r="T31" s="11">
        <f t="shared" si="0"/>
        <v>0</v>
      </c>
      <c r="U31" s="6">
        <v>111.78</v>
      </c>
      <c r="V31" s="11">
        <f t="shared" si="1"/>
        <v>0</v>
      </c>
      <c r="W31" s="9">
        <f t="shared" si="2"/>
        <v>0.9</v>
      </c>
    </row>
    <row r="32" spans="1:23" hidden="1">
      <c r="A32">
        <v>31</v>
      </c>
      <c r="B32" t="s">
        <v>216</v>
      </c>
      <c r="C32" s="5">
        <v>42264</v>
      </c>
      <c r="D32" s="5">
        <v>42268</v>
      </c>
      <c r="E32" t="s">
        <v>132</v>
      </c>
      <c r="F32" t="s">
        <v>217</v>
      </c>
      <c r="G32" t="s">
        <v>218</v>
      </c>
      <c r="H32" t="s">
        <v>112</v>
      </c>
      <c r="I32" t="s">
        <v>113</v>
      </c>
      <c r="J32" t="s">
        <v>71</v>
      </c>
      <c r="K32" t="s">
        <v>205</v>
      </c>
      <c r="L32">
        <v>19140</v>
      </c>
      <c r="M32" t="s">
        <v>206</v>
      </c>
      <c r="N32" t="s">
        <v>222</v>
      </c>
      <c r="O32" t="s">
        <v>117</v>
      </c>
      <c r="P32" t="s">
        <v>35</v>
      </c>
      <c r="Q32" t="s">
        <v>147</v>
      </c>
      <c r="R32">
        <v>3.2639999999999998</v>
      </c>
      <c r="S32">
        <v>2</v>
      </c>
      <c r="T32" s="11">
        <f t="shared" si="0"/>
        <v>0</v>
      </c>
      <c r="U32" s="6">
        <v>1.9583999999999997</v>
      </c>
      <c r="V32" s="11">
        <f t="shared" si="1"/>
        <v>0</v>
      </c>
      <c r="W32" s="9">
        <f t="shared" si="2"/>
        <v>0.6</v>
      </c>
    </row>
    <row r="33" spans="1:23" hidden="1">
      <c r="A33">
        <v>32</v>
      </c>
      <c r="B33" t="s">
        <v>216</v>
      </c>
      <c r="C33" s="5">
        <v>42264</v>
      </c>
      <c r="D33" s="5">
        <v>42268</v>
      </c>
      <c r="E33" t="s">
        <v>132</v>
      </c>
      <c r="F33" t="s">
        <v>217</v>
      </c>
      <c r="G33" t="s">
        <v>218</v>
      </c>
      <c r="H33" t="s">
        <v>112</v>
      </c>
      <c r="I33" t="s">
        <v>113</v>
      </c>
      <c r="J33" t="s">
        <v>71</v>
      </c>
      <c r="K33" t="s">
        <v>205</v>
      </c>
      <c r="L33">
        <v>19140</v>
      </c>
      <c r="M33" t="s">
        <v>206</v>
      </c>
      <c r="N33" t="s">
        <v>223</v>
      </c>
      <c r="O33" t="s">
        <v>117</v>
      </c>
      <c r="P33" t="s">
        <v>35</v>
      </c>
      <c r="Q33" t="s">
        <v>149</v>
      </c>
      <c r="R33">
        <v>86.304000000000002</v>
      </c>
      <c r="S33">
        <v>6</v>
      </c>
      <c r="T33" s="11">
        <f t="shared" si="0"/>
        <v>0.05</v>
      </c>
      <c r="U33" s="6">
        <v>155.34720000000002</v>
      </c>
      <c r="V33" s="11">
        <f t="shared" si="1"/>
        <v>4.3151999999999999</v>
      </c>
      <c r="W33" s="9">
        <f t="shared" si="2"/>
        <v>1.8</v>
      </c>
    </row>
    <row r="34" spans="1:23" hidden="1">
      <c r="A34">
        <v>33</v>
      </c>
      <c r="B34" t="s">
        <v>216</v>
      </c>
      <c r="C34" s="5">
        <v>42264</v>
      </c>
      <c r="D34" s="5">
        <v>42268</v>
      </c>
      <c r="E34" t="s">
        <v>132</v>
      </c>
      <c r="F34" t="s">
        <v>217</v>
      </c>
      <c r="G34" t="s">
        <v>218</v>
      </c>
      <c r="H34" t="s">
        <v>112</v>
      </c>
      <c r="I34" t="s">
        <v>113</v>
      </c>
      <c r="J34" t="s">
        <v>71</v>
      </c>
      <c r="K34" t="s">
        <v>205</v>
      </c>
      <c r="L34">
        <v>19140</v>
      </c>
      <c r="M34" t="s">
        <v>206</v>
      </c>
      <c r="N34" t="s">
        <v>224</v>
      </c>
      <c r="O34" t="s">
        <v>117</v>
      </c>
      <c r="P34" t="s">
        <v>129</v>
      </c>
      <c r="Q34" t="s">
        <v>151</v>
      </c>
      <c r="R34">
        <v>6.8580000000000014</v>
      </c>
      <c r="S34">
        <v>6</v>
      </c>
      <c r="T34" s="11">
        <f t="shared" si="0"/>
        <v>0.05</v>
      </c>
      <c r="U34" s="6">
        <v>12.344400000000002</v>
      </c>
      <c r="V34" s="11">
        <f t="shared" si="1"/>
        <v>0.34290000000000009</v>
      </c>
      <c r="W34" s="9">
        <f t="shared" si="2"/>
        <v>1.7999999999999998</v>
      </c>
    </row>
    <row r="35" spans="1:23" hidden="1">
      <c r="A35">
        <v>34</v>
      </c>
      <c r="B35" t="s">
        <v>216</v>
      </c>
      <c r="C35" s="5">
        <v>42264</v>
      </c>
      <c r="D35" s="5">
        <v>42268</v>
      </c>
      <c r="E35" t="s">
        <v>132</v>
      </c>
      <c r="F35" t="s">
        <v>217</v>
      </c>
      <c r="G35" t="s">
        <v>218</v>
      </c>
      <c r="H35" t="s">
        <v>112</v>
      </c>
      <c r="I35" t="s">
        <v>113</v>
      </c>
      <c r="J35" t="s">
        <v>71</v>
      </c>
      <c r="K35" t="s">
        <v>205</v>
      </c>
      <c r="L35">
        <v>19140</v>
      </c>
      <c r="M35" t="s">
        <v>206</v>
      </c>
      <c r="N35" t="s">
        <v>225</v>
      </c>
      <c r="O35" t="s">
        <v>117</v>
      </c>
      <c r="P35" t="s">
        <v>153</v>
      </c>
      <c r="Q35" t="s">
        <v>154</v>
      </c>
      <c r="R35">
        <v>15.76</v>
      </c>
      <c r="S35">
        <v>2</v>
      </c>
      <c r="T35" s="11">
        <f t="shared" si="0"/>
        <v>0</v>
      </c>
      <c r="U35" s="6">
        <v>9.4559999999999995</v>
      </c>
      <c r="V35" s="11">
        <f t="shared" si="1"/>
        <v>0</v>
      </c>
      <c r="W35" s="9">
        <f t="shared" si="2"/>
        <v>0.6</v>
      </c>
    </row>
    <row r="36" spans="1:23" hidden="1">
      <c r="A36">
        <v>35</v>
      </c>
      <c r="B36" t="s">
        <v>226</v>
      </c>
      <c r="C36" s="5">
        <v>43027</v>
      </c>
      <c r="D36" s="5">
        <v>43031</v>
      </c>
      <c r="E36" t="s">
        <v>109</v>
      </c>
      <c r="F36" t="s">
        <v>227</v>
      </c>
      <c r="G36" t="s">
        <v>228</v>
      </c>
      <c r="H36" t="s">
        <v>173</v>
      </c>
      <c r="I36" t="s">
        <v>113</v>
      </c>
      <c r="J36" t="s">
        <v>61</v>
      </c>
      <c r="K36" t="s">
        <v>1</v>
      </c>
      <c r="L36">
        <v>77095</v>
      </c>
      <c r="M36" t="s">
        <v>174</v>
      </c>
      <c r="N36" t="s">
        <v>229</v>
      </c>
      <c r="O36" t="s">
        <v>117</v>
      </c>
      <c r="P36" t="s">
        <v>144</v>
      </c>
      <c r="Q36" t="s">
        <v>156</v>
      </c>
      <c r="R36">
        <v>29.472000000000001</v>
      </c>
      <c r="S36">
        <v>3</v>
      </c>
      <c r="T36" s="11">
        <f t="shared" si="0"/>
        <v>0</v>
      </c>
      <c r="U36" s="6">
        <v>26.524799999999999</v>
      </c>
      <c r="V36" s="11">
        <f t="shared" si="1"/>
        <v>0</v>
      </c>
      <c r="W36" s="9">
        <f t="shared" si="2"/>
        <v>0.89999999999999991</v>
      </c>
    </row>
    <row r="37" spans="1:23" hidden="1">
      <c r="A37">
        <v>36</v>
      </c>
      <c r="B37" t="s">
        <v>230</v>
      </c>
      <c r="C37" s="5">
        <v>42712</v>
      </c>
      <c r="D37" s="5">
        <v>42714</v>
      </c>
      <c r="E37" t="s">
        <v>231</v>
      </c>
      <c r="F37" t="s">
        <v>232</v>
      </c>
      <c r="G37" t="s">
        <v>233</v>
      </c>
      <c r="H37" t="s">
        <v>125</v>
      </c>
      <c r="I37" t="s">
        <v>113</v>
      </c>
      <c r="J37" t="s">
        <v>74</v>
      </c>
      <c r="K37" t="s">
        <v>1</v>
      </c>
      <c r="L37">
        <v>75080</v>
      </c>
      <c r="M37" t="s">
        <v>174</v>
      </c>
      <c r="N37" t="s">
        <v>234</v>
      </c>
      <c r="O37" t="s">
        <v>117</v>
      </c>
      <c r="P37" t="s">
        <v>158</v>
      </c>
      <c r="Q37" t="s">
        <v>159</v>
      </c>
      <c r="R37">
        <v>1097.5440000000001</v>
      </c>
      <c r="S37">
        <v>7</v>
      </c>
      <c r="T37" s="11">
        <f t="shared" si="0"/>
        <v>0.05</v>
      </c>
      <c r="U37" s="6">
        <v>2304.8424</v>
      </c>
      <c r="V37" s="11">
        <f t="shared" si="1"/>
        <v>54.877200000000009</v>
      </c>
      <c r="W37" s="9">
        <f t="shared" si="2"/>
        <v>2.0999999999999996</v>
      </c>
    </row>
    <row r="38" spans="1:23" hidden="1">
      <c r="A38">
        <v>37</v>
      </c>
      <c r="B38" t="s">
        <v>230</v>
      </c>
      <c r="C38" s="5">
        <v>42712</v>
      </c>
      <c r="D38" s="5">
        <v>42714</v>
      </c>
      <c r="E38" t="s">
        <v>231</v>
      </c>
      <c r="F38" t="s">
        <v>232</v>
      </c>
      <c r="G38" t="s">
        <v>233</v>
      </c>
      <c r="H38" t="s">
        <v>125</v>
      </c>
      <c r="I38" t="s">
        <v>113</v>
      </c>
      <c r="J38" t="s">
        <v>74</v>
      </c>
      <c r="K38" t="s">
        <v>1</v>
      </c>
      <c r="L38">
        <v>75080</v>
      </c>
      <c r="M38" t="s">
        <v>174</v>
      </c>
      <c r="N38" t="s">
        <v>235</v>
      </c>
      <c r="O38" t="s">
        <v>117</v>
      </c>
      <c r="P38" t="s">
        <v>35</v>
      </c>
      <c r="Q38" t="s">
        <v>118</v>
      </c>
      <c r="R38">
        <v>190.92</v>
      </c>
      <c r="S38">
        <v>5</v>
      </c>
      <c r="T38" s="11">
        <f t="shared" si="0"/>
        <v>0.05</v>
      </c>
      <c r="U38" s="6">
        <v>286.37999999999994</v>
      </c>
      <c r="V38" s="11">
        <f t="shared" si="1"/>
        <v>9.5459999999999994</v>
      </c>
      <c r="W38" s="9">
        <f t="shared" si="2"/>
        <v>1.4999999999999998</v>
      </c>
    </row>
    <row r="39" spans="1:23" hidden="1">
      <c r="A39">
        <v>38</v>
      </c>
      <c r="B39" t="s">
        <v>236</v>
      </c>
      <c r="C39" s="5">
        <v>42365</v>
      </c>
      <c r="D39" s="5">
        <v>42369</v>
      </c>
      <c r="E39" t="s">
        <v>132</v>
      </c>
      <c r="F39" t="s">
        <v>237</v>
      </c>
      <c r="G39" t="s">
        <v>238</v>
      </c>
      <c r="H39" t="s">
        <v>173</v>
      </c>
      <c r="I39" t="s">
        <v>113</v>
      </c>
      <c r="J39" t="s">
        <v>61</v>
      </c>
      <c r="K39" t="s">
        <v>1</v>
      </c>
      <c r="L39">
        <v>77041</v>
      </c>
      <c r="M39" t="s">
        <v>174</v>
      </c>
      <c r="N39" t="s">
        <v>239</v>
      </c>
      <c r="O39" t="s">
        <v>117</v>
      </c>
      <c r="P39" t="s">
        <v>120</v>
      </c>
      <c r="Q39" t="s">
        <v>121</v>
      </c>
      <c r="R39">
        <v>113.328</v>
      </c>
      <c r="S39">
        <v>9</v>
      </c>
      <c r="T39" s="11">
        <f t="shared" si="0"/>
        <v>0.05</v>
      </c>
      <c r="U39" s="6">
        <v>305.98559999999998</v>
      </c>
      <c r="V39" s="11">
        <f t="shared" si="1"/>
        <v>5.6664000000000003</v>
      </c>
      <c r="W39" s="9">
        <f t="shared" si="2"/>
        <v>2.6999999999999997</v>
      </c>
    </row>
    <row r="40" spans="1:23" hidden="1">
      <c r="A40">
        <v>39</v>
      </c>
      <c r="B40" t="s">
        <v>236</v>
      </c>
      <c r="C40" s="5">
        <v>42365</v>
      </c>
      <c r="D40" s="5">
        <v>42369</v>
      </c>
      <c r="E40" t="s">
        <v>132</v>
      </c>
      <c r="F40" t="s">
        <v>237</v>
      </c>
      <c r="G40" t="s">
        <v>238</v>
      </c>
      <c r="H40" t="s">
        <v>173</v>
      </c>
      <c r="I40" t="s">
        <v>113</v>
      </c>
      <c r="J40" t="s">
        <v>61</v>
      </c>
      <c r="K40" t="s">
        <v>1</v>
      </c>
      <c r="L40">
        <v>77041</v>
      </c>
      <c r="M40" t="s">
        <v>174</v>
      </c>
      <c r="N40" t="s">
        <v>240</v>
      </c>
      <c r="O40" t="s">
        <v>117</v>
      </c>
      <c r="P40" t="s">
        <v>129</v>
      </c>
      <c r="Q40" t="s">
        <v>130</v>
      </c>
      <c r="R40">
        <v>532.39919999999995</v>
      </c>
      <c r="S40">
        <v>3</v>
      </c>
      <c r="T40" s="11">
        <f t="shared" si="0"/>
        <v>0</v>
      </c>
      <c r="U40" s="6">
        <v>479.15927999999997</v>
      </c>
      <c r="V40" s="11">
        <f t="shared" si="1"/>
        <v>0</v>
      </c>
      <c r="W40" s="9">
        <f t="shared" si="2"/>
        <v>0.9</v>
      </c>
    </row>
    <row r="41" spans="1:23" hidden="1">
      <c r="A41">
        <v>40</v>
      </c>
      <c r="B41" t="s">
        <v>236</v>
      </c>
      <c r="C41" s="5">
        <v>42365</v>
      </c>
      <c r="D41" s="5">
        <v>42369</v>
      </c>
      <c r="E41" t="s">
        <v>132</v>
      </c>
      <c r="F41" t="s">
        <v>237</v>
      </c>
      <c r="G41" t="s">
        <v>238</v>
      </c>
      <c r="H41" t="s">
        <v>173</v>
      </c>
      <c r="I41" t="s">
        <v>113</v>
      </c>
      <c r="J41" t="s">
        <v>61</v>
      </c>
      <c r="K41" t="s">
        <v>1</v>
      </c>
      <c r="L41">
        <v>77041</v>
      </c>
      <c r="M41" t="s">
        <v>174</v>
      </c>
      <c r="N41" t="s">
        <v>241</v>
      </c>
      <c r="O41" t="s">
        <v>117</v>
      </c>
      <c r="P41" t="s">
        <v>35</v>
      </c>
      <c r="Q41" t="s">
        <v>136</v>
      </c>
      <c r="R41">
        <v>212.05799999999999</v>
      </c>
      <c r="S41">
        <v>3</v>
      </c>
      <c r="T41" s="11">
        <f t="shared" si="0"/>
        <v>0</v>
      </c>
      <c r="U41" s="6">
        <v>190.85219999999998</v>
      </c>
      <c r="V41" s="11">
        <f t="shared" si="1"/>
        <v>0</v>
      </c>
      <c r="W41" s="9">
        <f t="shared" si="2"/>
        <v>0.89999999999999991</v>
      </c>
    </row>
    <row r="42" spans="1:23" hidden="1">
      <c r="A42">
        <v>41</v>
      </c>
      <c r="B42" t="s">
        <v>236</v>
      </c>
      <c r="C42" s="5">
        <v>42365</v>
      </c>
      <c r="D42" s="5">
        <v>42369</v>
      </c>
      <c r="E42" t="s">
        <v>132</v>
      </c>
      <c r="F42" t="s">
        <v>237</v>
      </c>
      <c r="G42" t="s">
        <v>238</v>
      </c>
      <c r="H42" t="s">
        <v>173</v>
      </c>
      <c r="I42" t="s">
        <v>113</v>
      </c>
      <c r="J42" t="s">
        <v>61</v>
      </c>
      <c r="K42" t="s">
        <v>1</v>
      </c>
      <c r="L42">
        <v>77041</v>
      </c>
      <c r="M42" t="s">
        <v>174</v>
      </c>
      <c r="N42" t="s">
        <v>242</v>
      </c>
      <c r="O42" t="s">
        <v>117</v>
      </c>
      <c r="P42" t="s">
        <v>138</v>
      </c>
      <c r="Q42" t="s">
        <v>139</v>
      </c>
      <c r="R42">
        <v>371.16800000000001</v>
      </c>
      <c r="S42">
        <v>4</v>
      </c>
      <c r="T42" s="11">
        <f t="shared" si="0"/>
        <v>0</v>
      </c>
      <c r="U42" s="6">
        <v>445.40159999999997</v>
      </c>
      <c r="V42" s="11">
        <f t="shared" si="1"/>
        <v>0</v>
      </c>
      <c r="W42" s="9">
        <f t="shared" si="2"/>
        <v>1.2</v>
      </c>
    </row>
    <row r="43" spans="1:23" hidden="1">
      <c r="A43">
        <v>42</v>
      </c>
      <c r="B43" t="s">
        <v>243</v>
      </c>
      <c r="C43" s="5">
        <v>42988</v>
      </c>
      <c r="D43" s="5">
        <v>42993</v>
      </c>
      <c r="E43" t="s">
        <v>132</v>
      </c>
      <c r="F43" t="s">
        <v>244</v>
      </c>
      <c r="G43" t="s">
        <v>245</v>
      </c>
      <c r="H43" t="s">
        <v>125</v>
      </c>
      <c r="I43" t="s">
        <v>113</v>
      </c>
      <c r="J43" t="s">
        <v>246</v>
      </c>
      <c r="K43" t="s">
        <v>247</v>
      </c>
      <c r="L43">
        <v>60540</v>
      </c>
      <c r="M43" t="s">
        <v>174</v>
      </c>
      <c r="N43" t="s">
        <v>248</v>
      </c>
      <c r="O43" t="s">
        <v>117</v>
      </c>
      <c r="P43" t="s">
        <v>144</v>
      </c>
      <c r="Q43" t="s">
        <v>145</v>
      </c>
      <c r="R43">
        <v>147.16800000000001</v>
      </c>
      <c r="S43">
        <v>4</v>
      </c>
      <c r="T43" s="11">
        <f t="shared" si="0"/>
        <v>0</v>
      </c>
      <c r="U43" s="6">
        <v>176.60159999999999</v>
      </c>
      <c r="V43" s="11">
        <f t="shared" si="1"/>
        <v>0</v>
      </c>
      <c r="W43" s="9">
        <f t="shared" si="2"/>
        <v>1.2</v>
      </c>
    </row>
    <row r="44" spans="1:23">
      <c r="A44">
        <v>43</v>
      </c>
      <c r="B44" t="s">
        <v>249</v>
      </c>
      <c r="C44" s="5">
        <v>42568</v>
      </c>
      <c r="D44" s="5">
        <v>42573</v>
      </c>
      <c r="E44" t="s">
        <v>132</v>
      </c>
      <c r="F44" t="s">
        <v>250</v>
      </c>
      <c r="G44" t="s">
        <v>251</v>
      </c>
      <c r="H44" t="s">
        <v>125</v>
      </c>
      <c r="I44" t="s">
        <v>113</v>
      </c>
      <c r="J44" t="s">
        <v>63</v>
      </c>
      <c r="K44" t="s">
        <v>126</v>
      </c>
      <c r="L44">
        <v>90049</v>
      </c>
      <c r="M44" t="s">
        <v>127</v>
      </c>
      <c r="N44" t="s">
        <v>252</v>
      </c>
      <c r="O44" t="s">
        <v>117</v>
      </c>
      <c r="P44" t="s">
        <v>35</v>
      </c>
      <c r="Q44" t="s">
        <v>147</v>
      </c>
      <c r="R44" s="9">
        <v>77.88</v>
      </c>
      <c r="S44">
        <v>2</v>
      </c>
      <c r="T44" s="11">
        <f t="shared" si="0"/>
        <v>0</v>
      </c>
      <c r="U44" s="9">
        <v>46.727999999999994</v>
      </c>
      <c r="V44" s="9">
        <f t="shared" si="1"/>
        <v>0</v>
      </c>
      <c r="W44" s="9">
        <f t="shared" si="2"/>
        <v>0.6</v>
      </c>
    </row>
    <row r="45" spans="1:23" hidden="1">
      <c r="A45">
        <v>44</v>
      </c>
      <c r="B45" t="s">
        <v>253</v>
      </c>
      <c r="C45" s="5">
        <v>42997</v>
      </c>
      <c r="D45" s="5">
        <v>43001</v>
      </c>
      <c r="E45" t="s">
        <v>132</v>
      </c>
      <c r="F45" t="s">
        <v>254</v>
      </c>
      <c r="G45" t="s">
        <v>255</v>
      </c>
      <c r="H45" t="s">
        <v>125</v>
      </c>
      <c r="I45" t="s">
        <v>113</v>
      </c>
      <c r="J45" t="s">
        <v>65</v>
      </c>
      <c r="K45" t="s">
        <v>6</v>
      </c>
      <c r="L45">
        <v>32935</v>
      </c>
      <c r="M45" t="s">
        <v>115</v>
      </c>
      <c r="N45" t="s">
        <v>256</v>
      </c>
      <c r="O45" t="s">
        <v>117</v>
      </c>
      <c r="P45" t="s">
        <v>35</v>
      </c>
      <c r="Q45" t="s">
        <v>149</v>
      </c>
      <c r="R45">
        <v>95.616</v>
      </c>
      <c r="S45">
        <v>2</v>
      </c>
      <c r="T45" s="11">
        <f t="shared" si="0"/>
        <v>0</v>
      </c>
      <c r="U45" s="6">
        <v>57.369599999999998</v>
      </c>
      <c r="V45" s="11">
        <f t="shared" si="1"/>
        <v>0</v>
      </c>
      <c r="W45" s="9">
        <f t="shared" si="2"/>
        <v>0.6</v>
      </c>
    </row>
    <row r="46" spans="1:23" hidden="1">
      <c r="A46">
        <v>45</v>
      </c>
      <c r="B46" t="s">
        <v>257</v>
      </c>
      <c r="C46" s="5">
        <v>42440</v>
      </c>
      <c r="D46" s="5">
        <v>42442</v>
      </c>
      <c r="E46" t="s">
        <v>231</v>
      </c>
      <c r="F46" t="s">
        <v>258</v>
      </c>
      <c r="G46" t="s">
        <v>259</v>
      </c>
      <c r="H46" t="s">
        <v>125</v>
      </c>
      <c r="I46" t="s">
        <v>113</v>
      </c>
      <c r="J46" t="s">
        <v>260</v>
      </c>
      <c r="K46" t="s">
        <v>261</v>
      </c>
      <c r="L46">
        <v>55122</v>
      </c>
      <c r="M46" t="s">
        <v>174</v>
      </c>
      <c r="N46" t="s">
        <v>262</v>
      </c>
      <c r="O46" t="s">
        <v>117</v>
      </c>
      <c r="P46" t="s">
        <v>129</v>
      </c>
      <c r="Q46" t="s">
        <v>151</v>
      </c>
      <c r="R46">
        <v>45.98</v>
      </c>
      <c r="S46">
        <v>2</v>
      </c>
      <c r="T46" s="11">
        <f t="shared" si="0"/>
        <v>0</v>
      </c>
      <c r="U46" s="6">
        <v>27.587999999999997</v>
      </c>
      <c r="V46" s="11">
        <f t="shared" si="1"/>
        <v>0</v>
      </c>
      <c r="W46" s="9">
        <f t="shared" si="2"/>
        <v>0.6</v>
      </c>
    </row>
    <row r="47" spans="1:23" hidden="1">
      <c r="A47">
        <v>46</v>
      </c>
      <c r="B47" t="s">
        <v>257</v>
      </c>
      <c r="C47" s="5">
        <v>42440</v>
      </c>
      <c r="D47" s="5">
        <v>42442</v>
      </c>
      <c r="E47" t="s">
        <v>231</v>
      </c>
      <c r="F47" t="s">
        <v>258</v>
      </c>
      <c r="G47" t="s">
        <v>259</v>
      </c>
      <c r="H47" t="s">
        <v>125</v>
      </c>
      <c r="I47" t="s">
        <v>113</v>
      </c>
      <c r="J47" t="s">
        <v>260</v>
      </c>
      <c r="K47" t="s">
        <v>261</v>
      </c>
      <c r="L47">
        <v>55122</v>
      </c>
      <c r="M47" t="s">
        <v>174</v>
      </c>
      <c r="N47" t="s">
        <v>263</v>
      </c>
      <c r="O47" t="s">
        <v>117</v>
      </c>
      <c r="P47" t="s">
        <v>153</v>
      </c>
      <c r="Q47" t="s">
        <v>154</v>
      </c>
      <c r="R47">
        <v>17.46</v>
      </c>
      <c r="S47">
        <v>2</v>
      </c>
      <c r="T47" s="11">
        <f t="shared" si="0"/>
        <v>0</v>
      </c>
      <c r="U47" s="6">
        <v>10.476000000000001</v>
      </c>
      <c r="V47" s="11">
        <f t="shared" si="1"/>
        <v>0</v>
      </c>
      <c r="W47" s="9">
        <f t="shared" si="2"/>
        <v>0.6</v>
      </c>
    </row>
    <row r="48" spans="1:23" hidden="1">
      <c r="A48">
        <v>47</v>
      </c>
      <c r="B48" t="s">
        <v>264</v>
      </c>
      <c r="C48" s="5">
        <v>41932</v>
      </c>
      <c r="D48" s="5">
        <v>41937</v>
      </c>
      <c r="E48" t="s">
        <v>109</v>
      </c>
      <c r="F48" t="s">
        <v>265</v>
      </c>
      <c r="G48" t="s">
        <v>266</v>
      </c>
      <c r="H48" t="s">
        <v>112</v>
      </c>
      <c r="I48" t="s">
        <v>113</v>
      </c>
      <c r="J48" t="s">
        <v>267</v>
      </c>
      <c r="K48" t="s">
        <v>268</v>
      </c>
      <c r="L48">
        <v>48185</v>
      </c>
      <c r="M48" t="s">
        <v>174</v>
      </c>
      <c r="N48" t="s">
        <v>269</v>
      </c>
      <c r="O48" t="s">
        <v>117</v>
      </c>
      <c r="P48" t="s">
        <v>144</v>
      </c>
      <c r="Q48" t="s">
        <v>156</v>
      </c>
      <c r="R48">
        <v>211.96</v>
      </c>
      <c r="S48">
        <v>4</v>
      </c>
      <c r="T48" s="11">
        <f t="shared" si="0"/>
        <v>0</v>
      </c>
      <c r="U48" s="6">
        <v>254.352</v>
      </c>
      <c r="V48" s="11">
        <f t="shared" si="1"/>
        <v>0</v>
      </c>
      <c r="W48" s="9">
        <f t="shared" si="2"/>
        <v>1.2</v>
      </c>
    </row>
    <row r="49" spans="1:23" hidden="1">
      <c r="A49">
        <v>48</v>
      </c>
      <c r="B49" t="s">
        <v>270</v>
      </c>
      <c r="C49" s="5">
        <v>42541</v>
      </c>
      <c r="D49" s="5">
        <v>42546</v>
      </c>
      <c r="E49" t="s">
        <v>132</v>
      </c>
      <c r="F49" t="s">
        <v>271</v>
      </c>
      <c r="G49" t="s">
        <v>272</v>
      </c>
      <c r="H49" t="s">
        <v>112</v>
      </c>
      <c r="I49" t="s">
        <v>113</v>
      </c>
      <c r="J49" t="s">
        <v>51</v>
      </c>
      <c r="K49" t="s">
        <v>273</v>
      </c>
      <c r="L49">
        <v>19901</v>
      </c>
      <c r="M49" t="s">
        <v>206</v>
      </c>
      <c r="N49" t="s">
        <v>274</v>
      </c>
      <c r="O49" t="s">
        <v>117</v>
      </c>
      <c r="P49" t="s">
        <v>158</v>
      </c>
      <c r="Q49" t="s">
        <v>159</v>
      </c>
      <c r="R49">
        <v>45</v>
      </c>
      <c r="S49">
        <v>3</v>
      </c>
      <c r="T49" s="11">
        <f t="shared" si="0"/>
        <v>0</v>
      </c>
      <c r="U49" s="6">
        <v>40.5</v>
      </c>
      <c r="V49" s="11">
        <f t="shared" si="1"/>
        <v>0</v>
      </c>
      <c r="W49" s="9">
        <f t="shared" si="2"/>
        <v>0.9</v>
      </c>
    </row>
    <row r="50" spans="1:23" hidden="1">
      <c r="A50">
        <v>49</v>
      </c>
      <c r="B50" t="s">
        <v>270</v>
      </c>
      <c r="C50" s="5">
        <v>42541</v>
      </c>
      <c r="D50" s="5">
        <v>42546</v>
      </c>
      <c r="E50" t="s">
        <v>132</v>
      </c>
      <c r="F50" t="s">
        <v>271</v>
      </c>
      <c r="G50" t="s">
        <v>272</v>
      </c>
      <c r="H50" t="s">
        <v>112</v>
      </c>
      <c r="I50" t="s">
        <v>113</v>
      </c>
      <c r="J50" t="s">
        <v>51</v>
      </c>
      <c r="K50" t="s">
        <v>273</v>
      </c>
      <c r="L50">
        <v>19901</v>
      </c>
      <c r="M50" t="s">
        <v>206</v>
      </c>
      <c r="N50" t="s">
        <v>275</v>
      </c>
      <c r="O50" t="s">
        <v>117</v>
      </c>
      <c r="P50" t="s">
        <v>35</v>
      </c>
      <c r="Q50" t="s">
        <v>118</v>
      </c>
      <c r="R50">
        <v>21.8</v>
      </c>
      <c r="S50">
        <v>2</v>
      </c>
      <c r="T50" s="11">
        <f t="shared" si="0"/>
        <v>0</v>
      </c>
      <c r="U50" s="6">
        <v>13.08</v>
      </c>
      <c r="V50" s="11">
        <f t="shared" si="1"/>
        <v>0</v>
      </c>
      <c r="W50" s="9">
        <f t="shared" si="2"/>
        <v>0.6</v>
      </c>
    </row>
    <row r="51" spans="1:23" hidden="1">
      <c r="A51">
        <v>50</v>
      </c>
      <c r="B51" t="s">
        <v>276</v>
      </c>
      <c r="C51" s="5">
        <v>42112</v>
      </c>
      <c r="D51" s="5">
        <v>42116</v>
      </c>
      <c r="E51" t="s">
        <v>132</v>
      </c>
      <c r="F51" t="s">
        <v>277</v>
      </c>
      <c r="G51" t="s">
        <v>278</v>
      </c>
      <c r="H51" t="s">
        <v>112</v>
      </c>
      <c r="I51" t="s">
        <v>113</v>
      </c>
      <c r="J51" t="s">
        <v>68</v>
      </c>
      <c r="K51" t="s">
        <v>279</v>
      </c>
      <c r="L51">
        <v>47150</v>
      </c>
      <c r="M51" t="s">
        <v>174</v>
      </c>
      <c r="N51" t="s">
        <v>280</v>
      </c>
      <c r="O51" t="s">
        <v>117</v>
      </c>
      <c r="P51" t="s">
        <v>120</v>
      </c>
      <c r="Q51" t="s">
        <v>121</v>
      </c>
      <c r="R51">
        <v>38.22</v>
      </c>
      <c r="S51">
        <v>6</v>
      </c>
      <c r="T51" s="11">
        <f t="shared" si="0"/>
        <v>0.05</v>
      </c>
      <c r="U51" s="6">
        <v>68.795999999999992</v>
      </c>
      <c r="V51" s="11">
        <f t="shared" si="1"/>
        <v>1.911</v>
      </c>
      <c r="W51" s="9">
        <f t="shared" si="2"/>
        <v>1.7999999999999998</v>
      </c>
    </row>
    <row r="52" spans="1:23" hidden="1">
      <c r="A52">
        <v>51</v>
      </c>
      <c r="B52" t="s">
        <v>276</v>
      </c>
      <c r="C52" s="5">
        <v>42112</v>
      </c>
      <c r="D52" s="5">
        <v>42116</v>
      </c>
      <c r="E52" t="s">
        <v>132</v>
      </c>
      <c r="F52" t="s">
        <v>277</v>
      </c>
      <c r="G52" t="s">
        <v>278</v>
      </c>
      <c r="H52" t="s">
        <v>112</v>
      </c>
      <c r="I52" t="s">
        <v>113</v>
      </c>
      <c r="J52" t="s">
        <v>68</v>
      </c>
      <c r="K52" t="s">
        <v>279</v>
      </c>
      <c r="L52">
        <v>47150</v>
      </c>
      <c r="M52" t="s">
        <v>174</v>
      </c>
      <c r="N52" t="s">
        <v>281</v>
      </c>
      <c r="O52" t="s">
        <v>117</v>
      </c>
      <c r="P52" t="s">
        <v>129</v>
      </c>
      <c r="Q52" t="s">
        <v>130</v>
      </c>
      <c r="R52">
        <v>75.179999999999993</v>
      </c>
      <c r="S52">
        <v>6</v>
      </c>
      <c r="T52" s="11">
        <f t="shared" si="0"/>
        <v>0.05</v>
      </c>
      <c r="U52" s="6">
        <v>135.32399999999998</v>
      </c>
      <c r="V52" s="11">
        <f t="shared" si="1"/>
        <v>3.7589999999999999</v>
      </c>
      <c r="W52" s="9">
        <f t="shared" si="2"/>
        <v>1.8</v>
      </c>
    </row>
    <row r="53" spans="1:23" hidden="1">
      <c r="A53">
        <v>52</v>
      </c>
      <c r="B53" t="s">
        <v>276</v>
      </c>
      <c r="C53" s="5">
        <v>42112</v>
      </c>
      <c r="D53" s="5">
        <v>42116</v>
      </c>
      <c r="E53" t="s">
        <v>132</v>
      </c>
      <c r="F53" t="s">
        <v>277</v>
      </c>
      <c r="G53" t="s">
        <v>278</v>
      </c>
      <c r="H53" t="s">
        <v>112</v>
      </c>
      <c r="I53" t="s">
        <v>113</v>
      </c>
      <c r="J53" t="s">
        <v>68</v>
      </c>
      <c r="K53" t="s">
        <v>279</v>
      </c>
      <c r="L53">
        <v>47150</v>
      </c>
      <c r="M53" t="s">
        <v>174</v>
      </c>
      <c r="N53" t="s">
        <v>282</v>
      </c>
      <c r="O53" t="s">
        <v>117</v>
      </c>
      <c r="P53" t="s">
        <v>35</v>
      </c>
      <c r="Q53" t="s">
        <v>136</v>
      </c>
      <c r="R53">
        <v>6.16</v>
      </c>
      <c r="S53">
        <v>2</v>
      </c>
      <c r="T53" s="11">
        <f t="shared" si="0"/>
        <v>0</v>
      </c>
      <c r="U53" s="6">
        <v>3.6959999999999997</v>
      </c>
      <c r="V53" s="11">
        <f t="shared" si="1"/>
        <v>0</v>
      </c>
      <c r="W53" s="9">
        <f t="shared" si="2"/>
        <v>0.6</v>
      </c>
    </row>
    <row r="54" spans="1:23" hidden="1">
      <c r="A54">
        <v>53</v>
      </c>
      <c r="B54" t="s">
        <v>276</v>
      </c>
      <c r="C54" s="5">
        <v>42112</v>
      </c>
      <c r="D54" s="5">
        <v>42116</v>
      </c>
      <c r="E54" t="s">
        <v>132</v>
      </c>
      <c r="F54" t="s">
        <v>277</v>
      </c>
      <c r="G54" t="s">
        <v>278</v>
      </c>
      <c r="H54" t="s">
        <v>112</v>
      </c>
      <c r="I54" t="s">
        <v>113</v>
      </c>
      <c r="J54" t="s">
        <v>68</v>
      </c>
      <c r="K54" t="s">
        <v>279</v>
      </c>
      <c r="L54">
        <v>47150</v>
      </c>
      <c r="M54" t="s">
        <v>174</v>
      </c>
      <c r="N54" t="s">
        <v>283</v>
      </c>
      <c r="O54" t="s">
        <v>117</v>
      </c>
      <c r="P54" t="s">
        <v>138</v>
      </c>
      <c r="Q54" t="s">
        <v>139</v>
      </c>
      <c r="R54">
        <v>89.99</v>
      </c>
      <c r="S54">
        <v>1</v>
      </c>
      <c r="T54" s="11">
        <f t="shared" si="0"/>
        <v>0</v>
      </c>
      <c r="U54" s="6">
        <v>26.996999999999996</v>
      </c>
      <c r="V54" s="11">
        <f t="shared" si="1"/>
        <v>0</v>
      </c>
      <c r="W54" s="9">
        <f t="shared" si="2"/>
        <v>0.3</v>
      </c>
    </row>
    <row r="55" spans="1:23" hidden="1">
      <c r="A55">
        <v>54</v>
      </c>
      <c r="B55" t="s">
        <v>284</v>
      </c>
      <c r="C55" s="5">
        <v>42715</v>
      </c>
      <c r="D55" s="5">
        <v>42721</v>
      </c>
      <c r="E55" t="s">
        <v>132</v>
      </c>
      <c r="F55" t="s">
        <v>285</v>
      </c>
      <c r="G55" t="s">
        <v>286</v>
      </c>
      <c r="H55" t="s">
        <v>125</v>
      </c>
      <c r="I55" t="s">
        <v>113</v>
      </c>
      <c r="J55" t="s">
        <v>69</v>
      </c>
      <c r="K55" t="s">
        <v>287</v>
      </c>
      <c r="L55">
        <v>10024</v>
      </c>
      <c r="M55" t="s">
        <v>206</v>
      </c>
      <c r="N55" t="s">
        <v>288</v>
      </c>
      <c r="O55" t="s">
        <v>117</v>
      </c>
      <c r="P55" t="s">
        <v>144</v>
      </c>
      <c r="Q55" t="s">
        <v>145</v>
      </c>
      <c r="R55">
        <v>15.26</v>
      </c>
      <c r="S55">
        <v>7</v>
      </c>
      <c r="T55" s="11">
        <f t="shared" si="0"/>
        <v>0.05</v>
      </c>
      <c r="U55" s="6">
        <v>32.045999999999999</v>
      </c>
      <c r="V55" s="11">
        <f t="shared" si="1"/>
        <v>0.76300000000000001</v>
      </c>
      <c r="W55" s="9">
        <f t="shared" si="2"/>
        <v>2.1</v>
      </c>
    </row>
    <row r="56" spans="1:23" hidden="1">
      <c r="A56">
        <v>55</v>
      </c>
      <c r="B56" t="s">
        <v>284</v>
      </c>
      <c r="C56" s="5">
        <v>42715</v>
      </c>
      <c r="D56" s="5">
        <v>42721</v>
      </c>
      <c r="E56" t="s">
        <v>132</v>
      </c>
      <c r="F56" t="s">
        <v>285</v>
      </c>
      <c r="G56" t="s">
        <v>286</v>
      </c>
      <c r="H56" t="s">
        <v>125</v>
      </c>
      <c r="I56" t="s">
        <v>113</v>
      </c>
      <c r="J56" t="s">
        <v>69</v>
      </c>
      <c r="K56" t="s">
        <v>287</v>
      </c>
      <c r="L56">
        <v>10024</v>
      </c>
      <c r="M56" t="s">
        <v>206</v>
      </c>
      <c r="N56" t="s">
        <v>289</v>
      </c>
      <c r="O56" t="s">
        <v>117</v>
      </c>
      <c r="P56" t="s">
        <v>35</v>
      </c>
      <c r="Q56" t="s">
        <v>147</v>
      </c>
      <c r="R56">
        <v>1029.95</v>
      </c>
      <c r="S56">
        <v>5</v>
      </c>
      <c r="T56" s="11">
        <f t="shared" si="0"/>
        <v>0.05</v>
      </c>
      <c r="U56" s="6">
        <v>1544.925</v>
      </c>
      <c r="V56" s="11">
        <f t="shared" si="1"/>
        <v>51.497500000000002</v>
      </c>
      <c r="W56" s="9">
        <f t="shared" si="2"/>
        <v>1.5</v>
      </c>
    </row>
    <row r="57" spans="1:23" hidden="1">
      <c r="A57">
        <v>56</v>
      </c>
      <c r="B57" t="s">
        <v>290</v>
      </c>
      <c r="C57" s="5">
        <v>42538</v>
      </c>
      <c r="D57" s="5">
        <v>42539</v>
      </c>
      <c r="E57" t="s">
        <v>231</v>
      </c>
      <c r="F57" t="s">
        <v>291</v>
      </c>
      <c r="G57" t="s">
        <v>292</v>
      </c>
      <c r="H57" t="s">
        <v>112</v>
      </c>
      <c r="I57" t="s">
        <v>113</v>
      </c>
      <c r="J57" t="s">
        <v>83</v>
      </c>
      <c r="K57" t="s">
        <v>287</v>
      </c>
      <c r="L57">
        <v>12180</v>
      </c>
      <c r="M57" t="s">
        <v>206</v>
      </c>
      <c r="N57" t="s">
        <v>293</v>
      </c>
      <c r="O57" t="s">
        <v>117</v>
      </c>
      <c r="P57" t="s">
        <v>35</v>
      </c>
      <c r="Q57" t="s">
        <v>149</v>
      </c>
      <c r="R57">
        <v>208.56</v>
      </c>
      <c r="S57">
        <v>6</v>
      </c>
      <c r="T57" s="11">
        <f t="shared" si="0"/>
        <v>0.05</v>
      </c>
      <c r="U57" s="6">
        <v>375.40800000000002</v>
      </c>
      <c r="V57" s="11">
        <f t="shared" si="1"/>
        <v>10.428000000000001</v>
      </c>
      <c r="W57" s="9">
        <f t="shared" si="2"/>
        <v>1.8</v>
      </c>
    </row>
    <row r="58" spans="1:23" hidden="1">
      <c r="A58">
        <v>57</v>
      </c>
      <c r="B58" t="s">
        <v>290</v>
      </c>
      <c r="C58" s="5">
        <v>42538</v>
      </c>
      <c r="D58" s="5">
        <v>42539</v>
      </c>
      <c r="E58" t="s">
        <v>231</v>
      </c>
      <c r="F58" t="s">
        <v>291</v>
      </c>
      <c r="G58" t="s">
        <v>292</v>
      </c>
      <c r="H58" t="s">
        <v>112</v>
      </c>
      <c r="I58" t="s">
        <v>113</v>
      </c>
      <c r="J58" t="s">
        <v>83</v>
      </c>
      <c r="K58" t="s">
        <v>287</v>
      </c>
      <c r="L58">
        <v>12180</v>
      </c>
      <c r="M58" t="s">
        <v>206</v>
      </c>
      <c r="N58" t="s">
        <v>294</v>
      </c>
      <c r="O58" t="s">
        <v>117</v>
      </c>
      <c r="P58" t="s">
        <v>129</v>
      </c>
      <c r="Q58" t="s">
        <v>151</v>
      </c>
      <c r="R58">
        <v>32.400000000000013</v>
      </c>
      <c r="S58">
        <v>5</v>
      </c>
      <c r="T58" s="11">
        <f t="shared" si="0"/>
        <v>0.05</v>
      </c>
      <c r="U58" s="6">
        <v>48.600000000000016</v>
      </c>
      <c r="V58" s="11">
        <f t="shared" si="1"/>
        <v>1.6200000000000008</v>
      </c>
      <c r="W58" s="9">
        <f t="shared" si="2"/>
        <v>1.5</v>
      </c>
    </row>
    <row r="59" spans="1:23" hidden="1">
      <c r="A59">
        <v>58</v>
      </c>
      <c r="B59" t="s">
        <v>290</v>
      </c>
      <c r="C59" s="5">
        <v>42538</v>
      </c>
      <c r="D59" s="5">
        <v>42539</v>
      </c>
      <c r="E59" t="s">
        <v>231</v>
      </c>
      <c r="F59" t="s">
        <v>291</v>
      </c>
      <c r="G59" t="s">
        <v>292</v>
      </c>
      <c r="H59" t="s">
        <v>112</v>
      </c>
      <c r="I59" t="s">
        <v>113</v>
      </c>
      <c r="J59" t="s">
        <v>83</v>
      </c>
      <c r="K59" t="s">
        <v>287</v>
      </c>
      <c r="L59">
        <v>12180</v>
      </c>
      <c r="M59" t="s">
        <v>206</v>
      </c>
      <c r="N59" t="s">
        <v>295</v>
      </c>
      <c r="O59" t="s">
        <v>117</v>
      </c>
      <c r="P59" t="s">
        <v>153</v>
      </c>
      <c r="Q59" t="s">
        <v>154</v>
      </c>
      <c r="R59">
        <v>319.41000000000003</v>
      </c>
      <c r="S59">
        <v>5</v>
      </c>
      <c r="T59" s="11">
        <f t="shared" si="0"/>
        <v>0.05</v>
      </c>
      <c r="U59" s="6">
        <v>479.11500000000001</v>
      </c>
      <c r="V59" s="11">
        <f t="shared" si="1"/>
        <v>15.970500000000001</v>
      </c>
      <c r="W59" s="9">
        <f t="shared" si="2"/>
        <v>1.5</v>
      </c>
    </row>
    <row r="60" spans="1:23" hidden="1">
      <c r="A60">
        <v>59</v>
      </c>
      <c r="B60" t="s">
        <v>290</v>
      </c>
      <c r="C60" s="5">
        <v>42538</v>
      </c>
      <c r="D60" s="5">
        <v>42539</v>
      </c>
      <c r="E60" t="s">
        <v>231</v>
      </c>
      <c r="F60" t="s">
        <v>291</v>
      </c>
      <c r="G60" t="s">
        <v>292</v>
      </c>
      <c r="H60" t="s">
        <v>112</v>
      </c>
      <c r="I60" t="s">
        <v>113</v>
      </c>
      <c r="J60" t="s">
        <v>83</v>
      </c>
      <c r="K60" t="s">
        <v>287</v>
      </c>
      <c r="L60">
        <v>12180</v>
      </c>
      <c r="M60" t="s">
        <v>206</v>
      </c>
      <c r="N60" t="s">
        <v>296</v>
      </c>
      <c r="O60" t="s">
        <v>117</v>
      </c>
      <c r="P60" t="s">
        <v>144</v>
      </c>
      <c r="Q60" t="s">
        <v>156</v>
      </c>
      <c r="R60">
        <v>14.56</v>
      </c>
      <c r="S60">
        <v>2</v>
      </c>
      <c r="T60" s="11">
        <f t="shared" si="0"/>
        <v>0</v>
      </c>
      <c r="U60" s="6">
        <v>8.7360000000000007</v>
      </c>
      <c r="V60" s="11">
        <f t="shared" si="1"/>
        <v>0</v>
      </c>
      <c r="W60" s="9">
        <f t="shared" si="2"/>
        <v>0.6</v>
      </c>
    </row>
    <row r="61" spans="1:23" hidden="1">
      <c r="A61">
        <v>60</v>
      </c>
      <c r="B61" t="s">
        <v>290</v>
      </c>
      <c r="C61" s="5">
        <v>42538</v>
      </c>
      <c r="D61" s="5">
        <v>42539</v>
      </c>
      <c r="E61" t="s">
        <v>231</v>
      </c>
      <c r="F61" t="s">
        <v>291</v>
      </c>
      <c r="G61" t="s">
        <v>292</v>
      </c>
      <c r="H61" t="s">
        <v>112</v>
      </c>
      <c r="I61" t="s">
        <v>113</v>
      </c>
      <c r="J61" t="s">
        <v>83</v>
      </c>
      <c r="K61" t="s">
        <v>287</v>
      </c>
      <c r="L61">
        <v>12180</v>
      </c>
      <c r="M61" t="s">
        <v>206</v>
      </c>
      <c r="N61" t="s">
        <v>274</v>
      </c>
      <c r="O61" t="s">
        <v>117</v>
      </c>
      <c r="P61" t="s">
        <v>158</v>
      </c>
      <c r="Q61" t="s">
        <v>159</v>
      </c>
      <c r="R61">
        <v>30</v>
      </c>
      <c r="S61">
        <v>2</v>
      </c>
      <c r="T61" s="11">
        <f t="shared" si="0"/>
        <v>0</v>
      </c>
      <c r="U61" s="6">
        <v>18</v>
      </c>
      <c r="V61" s="11">
        <f t="shared" si="1"/>
        <v>0</v>
      </c>
      <c r="W61" s="9">
        <f t="shared" si="2"/>
        <v>0.6</v>
      </c>
    </row>
    <row r="62" spans="1:23" hidden="1">
      <c r="A62">
        <v>61</v>
      </c>
      <c r="B62" t="s">
        <v>290</v>
      </c>
      <c r="C62" s="5">
        <v>42538</v>
      </c>
      <c r="D62" s="5">
        <v>42539</v>
      </c>
      <c r="E62" t="s">
        <v>231</v>
      </c>
      <c r="F62" t="s">
        <v>291</v>
      </c>
      <c r="G62" t="s">
        <v>292</v>
      </c>
      <c r="H62" t="s">
        <v>112</v>
      </c>
      <c r="I62" t="s">
        <v>113</v>
      </c>
      <c r="J62" t="s">
        <v>83</v>
      </c>
      <c r="K62" t="s">
        <v>287</v>
      </c>
      <c r="L62">
        <v>12180</v>
      </c>
      <c r="M62" t="s">
        <v>206</v>
      </c>
      <c r="N62" t="s">
        <v>297</v>
      </c>
      <c r="O62" t="s">
        <v>117</v>
      </c>
      <c r="P62" t="s">
        <v>35</v>
      </c>
      <c r="Q62" t="s">
        <v>118</v>
      </c>
      <c r="R62">
        <v>48.48</v>
      </c>
      <c r="S62">
        <v>4</v>
      </c>
      <c r="T62" s="11">
        <f t="shared" si="0"/>
        <v>0</v>
      </c>
      <c r="U62" s="6">
        <v>58.175999999999995</v>
      </c>
      <c r="V62" s="11">
        <f t="shared" si="1"/>
        <v>0</v>
      </c>
      <c r="W62" s="9">
        <f t="shared" si="2"/>
        <v>1.2</v>
      </c>
    </row>
    <row r="63" spans="1:23" hidden="1">
      <c r="A63">
        <v>62</v>
      </c>
      <c r="B63" t="s">
        <v>290</v>
      </c>
      <c r="C63" s="5">
        <v>42538</v>
      </c>
      <c r="D63" s="5">
        <v>42539</v>
      </c>
      <c r="E63" t="s">
        <v>231</v>
      </c>
      <c r="F63" t="s">
        <v>291</v>
      </c>
      <c r="G63" t="s">
        <v>292</v>
      </c>
      <c r="H63" t="s">
        <v>112</v>
      </c>
      <c r="I63" t="s">
        <v>113</v>
      </c>
      <c r="J63" t="s">
        <v>83</v>
      </c>
      <c r="K63" t="s">
        <v>287</v>
      </c>
      <c r="L63">
        <v>12180</v>
      </c>
      <c r="M63" t="s">
        <v>206</v>
      </c>
      <c r="N63" t="s">
        <v>298</v>
      </c>
      <c r="O63" t="s">
        <v>117</v>
      </c>
      <c r="P63" t="s">
        <v>120</v>
      </c>
      <c r="Q63" t="s">
        <v>121</v>
      </c>
      <c r="R63">
        <v>1.68</v>
      </c>
      <c r="S63">
        <v>1</v>
      </c>
      <c r="T63" s="11">
        <f t="shared" si="0"/>
        <v>0</v>
      </c>
      <c r="U63" s="6">
        <v>0.504</v>
      </c>
      <c r="V63" s="11">
        <f t="shared" si="1"/>
        <v>0</v>
      </c>
      <c r="W63" s="9">
        <f t="shared" si="2"/>
        <v>0.3</v>
      </c>
    </row>
    <row r="64" spans="1:23" hidden="1">
      <c r="A64">
        <v>63</v>
      </c>
      <c r="B64" t="s">
        <v>299</v>
      </c>
      <c r="C64" s="5">
        <v>42332</v>
      </c>
      <c r="D64" s="5">
        <v>42338</v>
      </c>
      <c r="E64" t="s">
        <v>132</v>
      </c>
      <c r="F64" t="s">
        <v>300</v>
      </c>
      <c r="G64" t="s">
        <v>301</v>
      </c>
      <c r="H64" t="s">
        <v>112</v>
      </c>
      <c r="I64" t="s">
        <v>113</v>
      </c>
      <c r="J64" t="s">
        <v>63</v>
      </c>
      <c r="K64" t="s">
        <v>126</v>
      </c>
      <c r="L64">
        <v>90004</v>
      </c>
      <c r="M64" t="s">
        <v>127</v>
      </c>
      <c r="N64" t="s">
        <v>302</v>
      </c>
      <c r="O64" t="s">
        <v>117</v>
      </c>
      <c r="P64" t="s">
        <v>129</v>
      </c>
      <c r="Q64" t="s">
        <v>130</v>
      </c>
      <c r="R64">
        <v>13.98</v>
      </c>
      <c r="S64">
        <v>2</v>
      </c>
      <c r="T64" s="11">
        <f t="shared" si="0"/>
        <v>0</v>
      </c>
      <c r="U64" s="6">
        <v>8.3879999999999999</v>
      </c>
      <c r="V64" s="11">
        <f t="shared" si="1"/>
        <v>0</v>
      </c>
      <c r="W64" s="9">
        <f t="shared" si="2"/>
        <v>0.6</v>
      </c>
    </row>
    <row r="65" spans="1:23">
      <c r="A65">
        <v>64</v>
      </c>
      <c r="B65" t="s">
        <v>299</v>
      </c>
      <c r="C65" s="5">
        <v>42332</v>
      </c>
      <c r="D65" s="5">
        <v>42338</v>
      </c>
      <c r="E65" t="s">
        <v>132</v>
      </c>
      <c r="F65" t="s">
        <v>300</v>
      </c>
      <c r="G65" t="s">
        <v>301</v>
      </c>
      <c r="H65" t="s">
        <v>112</v>
      </c>
      <c r="I65" t="s">
        <v>113</v>
      </c>
      <c r="J65" t="s">
        <v>63</v>
      </c>
      <c r="K65" t="s">
        <v>126</v>
      </c>
      <c r="L65">
        <v>90004</v>
      </c>
      <c r="M65" t="s">
        <v>127</v>
      </c>
      <c r="N65" t="s">
        <v>303</v>
      </c>
      <c r="O65" t="s">
        <v>117</v>
      </c>
      <c r="P65" t="s">
        <v>35</v>
      </c>
      <c r="Q65" t="s">
        <v>136</v>
      </c>
      <c r="R65" s="9">
        <v>25.824000000000002</v>
      </c>
      <c r="S65">
        <v>6</v>
      </c>
      <c r="T65" s="11">
        <f t="shared" si="0"/>
        <v>0.05</v>
      </c>
      <c r="U65" s="9">
        <v>46.483200000000004</v>
      </c>
      <c r="V65" s="9">
        <f t="shared" si="1"/>
        <v>1.2912000000000001</v>
      </c>
      <c r="W65" s="9">
        <f t="shared" si="2"/>
        <v>1.8</v>
      </c>
    </row>
    <row r="66" spans="1:23" hidden="1">
      <c r="A66">
        <v>65</v>
      </c>
      <c r="B66" t="s">
        <v>299</v>
      </c>
      <c r="C66" s="5">
        <v>42332</v>
      </c>
      <c r="D66" s="5">
        <v>42338</v>
      </c>
      <c r="E66" t="s">
        <v>132</v>
      </c>
      <c r="F66" t="s">
        <v>300</v>
      </c>
      <c r="G66" t="s">
        <v>301</v>
      </c>
      <c r="H66" t="s">
        <v>112</v>
      </c>
      <c r="I66" t="s">
        <v>113</v>
      </c>
      <c r="J66" t="s">
        <v>63</v>
      </c>
      <c r="K66" t="s">
        <v>126</v>
      </c>
      <c r="L66">
        <v>90004</v>
      </c>
      <c r="M66" t="s">
        <v>127</v>
      </c>
      <c r="N66" t="s">
        <v>304</v>
      </c>
      <c r="O66" t="s">
        <v>117</v>
      </c>
      <c r="P66" t="s">
        <v>138</v>
      </c>
      <c r="Q66" t="s">
        <v>139</v>
      </c>
      <c r="R66">
        <v>146.72999999999999</v>
      </c>
      <c r="S66">
        <v>3</v>
      </c>
      <c r="T66" s="11">
        <f t="shared" ref="T66:T129" si="3">IFERROR(IF(S66&gt;=5,VLOOKUP(S66,$X$311:$Y$313,2,TRUE),0),0)</f>
        <v>0</v>
      </c>
      <c r="U66" s="6">
        <v>132.05699999999999</v>
      </c>
      <c r="V66" s="11">
        <f t="shared" ref="V66:V129" si="4">R66*T66</f>
        <v>0</v>
      </c>
      <c r="W66" s="9">
        <f t="shared" ref="W66:W129" si="5">U66/R66</f>
        <v>0.9</v>
      </c>
    </row>
    <row r="67" spans="1:23" hidden="1">
      <c r="A67">
        <v>66</v>
      </c>
      <c r="B67" t="s">
        <v>299</v>
      </c>
      <c r="C67" s="5">
        <v>42332</v>
      </c>
      <c r="D67" s="5">
        <v>42338</v>
      </c>
      <c r="E67" t="s">
        <v>132</v>
      </c>
      <c r="F67" t="s">
        <v>300</v>
      </c>
      <c r="G67" t="s">
        <v>301</v>
      </c>
      <c r="H67" t="s">
        <v>112</v>
      </c>
      <c r="I67" t="s">
        <v>113</v>
      </c>
      <c r="J67" t="s">
        <v>63</v>
      </c>
      <c r="K67" t="s">
        <v>126</v>
      </c>
      <c r="L67">
        <v>90004</v>
      </c>
      <c r="M67" t="s">
        <v>127</v>
      </c>
      <c r="N67" t="s">
        <v>305</v>
      </c>
      <c r="O67" t="s">
        <v>117</v>
      </c>
      <c r="P67" t="s">
        <v>144</v>
      </c>
      <c r="Q67" t="s">
        <v>145</v>
      </c>
      <c r="R67">
        <v>79.760000000000005</v>
      </c>
      <c r="S67">
        <v>4</v>
      </c>
      <c r="T67" s="11">
        <f t="shared" si="3"/>
        <v>0</v>
      </c>
      <c r="U67" s="6">
        <v>95.712000000000003</v>
      </c>
      <c r="V67" s="11">
        <f t="shared" si="4"/>
        <v>0</v>
      </c>
      <c r="W67" s="9">
        <f t="shared" si="5"/>
        <v>1.2</v>
      </c>
    </row>
    <row r="68" spans="1:23" hidden="1">
      <c r="A68">
        <v>67</v>
      </c>
      <c r="B68" t="s">
        <v>306</v>
      </c>
      <c r="C68" s="5">
        <v>42124</v>
      </c>
      <c r="D68" s="5">
        <v>42129</v>
      </c>
      <c r="E68" t="s">
        <v>132</v>
      </c>
      <c r="F68" t="s">
        <v>307</v>
      </c>
      <c r="G68" t="s">
        <v>308</v>
      </c>
      <c r="H68" t="s">
        <v>173</v>
      </c>
      <c r="I68" t="s">
        <v>113</v>
      </c>
      <c r="J68" t="s">
        <v>43</v>
      </c>
      <c r="K68" t="s">
        <v>247</v>
      </c>
      <c r="L68">
        <v>60610</v>
      </c>
      <c r="M68" t="s">
        <v>174</v>
      </c>
      <c r="N68" t="s">
        <v>309</v>
      </c>
      <c r="O68" t="s">
        <v>117</v>
      </c>
      <c r="P68" t="s">
        <v>35</v>
      </c>
      <c r="Q68" t="s">
        <v>147</v>
      </c>
      <c r="R68">
        <v>213.11500000000001</v>
      </c>
      <c r="S68">
        <v>5</v>
      </c>
      <c r="T68" s="11">
        <f t="shared" si="3"/>
        <v>0.05</v>
      </c>
      <c r="U68" s="6">
        <v>319.67250000000001</v>
      </c>
      <c r="V68" s="11">
        <f t="shared" si="4"/>
        <v>10.655750000000001</v>
      </c>
      <c r="W68" s="9">
        <f t="shared" si="5"/>
        <v>1.5</v>
      </c>
    </row>
    <row r="69" spans="1:23" hidden="1">
      <c r="A69">
        <v>68</v>
      </c>
      <c r="B69" t="s">
        <v>310</v>
      </c>
      <c r="C69" s="5">
        <v>41978</v>
      </c>
      <c r="D69" s="5">
        <v>41983</v>
      </c>
      <c r="E69" t="s">
        <v>132</v>
      </c>
      <c r="F69" t="s">
        <v>311</v>
      </c>
      <c r="G69" t="s">
        <v>312</v>
      </c>
      <c r="H69" t="s">
        <v>125</v>
      </c>
      <c r="I69" t="s">
        <v>113</v>
      </c>
      <c r="J69" t="s">
        <v>57</v>
      </c>
      <c r="K69" t="s">
        <v>313</v>
      </c>
      <c r="L69">
        <v>85234</v>
      </c>
      <c r="M69" t="s">
        <v>127</v>
      </c>
      <c r="N69" t="s">
        <v>314</v>
      </c>
      <c r="O69" t="s">
        <v>117</v>
      </c>
      <c r="P69" t="s">
        <v>35</v>
      </c>
      <c r="Q69" t="s">
        <v>149</v>
      </c>
      <c r="R69">
        <v>1113.0239999999999</v>
      </c>
      <c r="S69">
        <v>8</v>
      </c>
      <c r="T69" s="11">
        <f t="shared" si="3"/>
        <v>0.05</v>
      </c>
      <c r="U69" s="6">
        <v>2671.2575999999995</v>
      </c>
      <c r="V69" s="11">
        <f t="shared" si="4"/>
        <v>55.651199999999996</v>
      </c>
      <c r="W69" s="9">
        <f t="shared" si="5"/>
        <v>2.4</v>
      </c>
    </row>
    <row r="70" spans="1:23" hidden="1">
      <c r="A70">
        <v>69</v>
      </c>
      <c r="B70" t="s">
        <v>310</v>
      </c>
      <c r="C70" s="5">
        <v>41978</v>
      </c>
      <c r="D70" s="5">
        <v>41983</v>
      </c>
      <c r="E70" t="s">
        <v>132</v>
      </c>
      <c r="F70" t="s">
        <v>311</v>
      </c>
      <c r="G70" t="s">
        <v>312</v>
      </c>
      <c r="H70" t="s">
        <v>125</v>
      </c>
      <c r="I70" t="s">
        <v>113</v>
      </c>
      <c r="J70" t="s">
        <v>57</v>
      </c>
      <c r="K70" t="s">
        <v>313</v>
      </c>
      <c r="L70">
        <v>85234</v>
      </c>
      <c r="M70" t="s">
        <v>127</v>
      </c>
      <c r="N70" t="s">
        <v>315</v>
      </c>
      <c r="O70" t="s">
        <v>117</v>
      </c>
      <c r="P70" t="s">
        <v>129</v>
      </c>
      <c r="Q70" t="s">
        <v>151</v>
      </c>
      <c r="R70">
        <v>167.96799999999999</v>
      </c>
      <c r="S70">
        <v>4</v>
      </c>
      <c r="T70" s="11">
        <f t="shared" si="3"/>
        <v>0</v>
      </c>
      <c r="U70" s="6">
        <v>201.56159999999997</v>
      </c>
      <c r="V70" s="11">
        <f t="shared" si="4"/>
        <v>0</v>
      </c>
      <c r="W70" s="9">
        <f t="shared" si="5"/>
        <v>1.2</v>
      </c>
    </row>
    <row r="71" spans="1:23" hidden="1">
      <c r="A71">
        <v>70</v>
      </c>
      <c r="B71" t="s">
        <v>316</v>
      </c>
      <c r="C71" s="5">
        <v>42525</v>
      </c>
      <c r="D71" s="5">
        <v>42527</v>
      </c>
      <c r="E71" t="s">
        <v>231</v>
      </c>
      <c r="F71" t="s">
        <v>317</v>
      </c>
      <c r="G71" t="s">
        <v>318</v>
      </c>
      <c r="H71" t="s">
        <v>112</v>
      </c>
      <c r="I71" t="s">
        <v>113</v>
      </c>
      <c r="J71" t="s">
        <v>319</v>
      </c>
      <c r="K71" t="s">
        <v>320</v>
      </c>
      <c r="L71">
        <v>22153</v>
      </c>
      <c r="M71" t="s">
        <v>115</v>
      </c>
      <c r="N71" t="s">
        <v>321</v>
      </c>
      <c r="O71" t="s">
        <v>117</v>
      </c>
      <c r="P71" t="s">
        <v>153</v>
      </c>
      <c r="Q71" t="s">
        <v>154</v>
      </c>
      <c r="R71">
        <v>75.88</v>
      </c>
      <c r="S71">
        <v>2</v>
      </c>
      <c r="T71" s="11">
        <f t="shared" si="3"/>
        <v>0</v>
      </c>
      <c r="U71" s="6">
        <v>45.527999999999999</v>
      </c>
      <c r="V71" s="11">
        <f t="shared" si="4"/>
        <v>0</v>
      </c>
      <c r="W71" s="9">
        <f t="shared" si="5"/>
        <v>0.6</v>
      </c>
    </row>
    <row r="72" spans="1:23" hidden="1">
      <c r="A72">
        <v>71</v>
      </c>
      <c r="B72" t="s">
        <v>322</v>
      </c>
      <c r="C72" s="5">
        <v>42631</v>
      </c>
      <c r="D72" s="5">
        <v>42636</v>
      </c>
      <c r="E72" t="s">
        <v>132</v>
      </c>
      <c r="F72" t="s">
        <v>323</v>
      </c>
      <c r="G72" t="s">
        <v>324</v>
      </c>
      <c r="H72" t="s">
        <v>112</v>
      </c>
      <c r="I72" t="s">
        <v>113</v>
      </c>
      <c r="J72" t="s">
        <v>69</v>
      </c>
      <c r="K72" t="s">
        <v>287</v>
      </c>
      <c r="L72">
        <v>10009</v>
      </c>
      <c r="M72" t="s">
        <v>206</v>
      </c>
      <c r="N72" t="s">
        <v>325</v>
      </c>
      <c r="O72" t="s">
        <v>117</v>
      </c>
      <c r="P72" t="s">
        <v>144</v>
      </c>
      <c r="Q72" t="s">
        <v>156</v>
      </c>
      <c r="R72">
        <v>4.6159999999999997</v>
      </c>
      <c r="S72">
        <v>1</v>
      </c>
      <c r="T72" s="11">
        <f t="shared" si="3"/>
        <v>0</v>
      </c>
      <c r="U72" s="6">
        <v>1.3847999999999998</v>
      </c>
      <c r="V72" s="11">
        <f t="shared" si="4"/>
        <v>0</v>
      </c>
      <c r="W72" s="9">
        <f t="shared" si="5"/>
        <v>0.3</v>
      </c>
    </row>
    <row r="73" spans="1:23" hidden="1">
      <c r="A73">
        <v>72</v>
      </c>
      <c r="B73" t="s">
        <v>326</v>
      </c>
      <c r="C73" s="5">
        <v>42992</v>
      </c>
      <c r="D73" s="5">
        <v>42995</v>
      </c>
      <c r="E73" t="s">
        <v>109</v>
      </c>
      <c r="F73" t="s">
        <v>217</v>
      </c>
      <c r="G73" t="s">
        <v>218</v>
      </c>
      <c r="H73" t="s">
        <v>112</v>
      </c>
      <c r="I73" t="s">
        <v>113</v>
      </c>
      <c r="J73" t="s">
        <v>327</v>
      </c>
      <c r="K73" t="s">
        <v>268</v>
      </c>
      <c r="L73">
        <v>49201</v>
      </c>
      <c r="M73" t="s">
        <v>174</v>
      </c>
      <c r="N73" t="s">
        <v>328</v>
      </c>
      <c r="O73" t="s">
        <v>117</v>
      </c>
      <c r="P73" t="s">
        <v>158</v>
      </c>
      <c r="Q73" t="s">
        <v>159</v>
      </c>
      <c r="R73">
        <v>19.05</v>
      </c>
      <c r="S73">
        <v>3</v>
      </c>
      <c r="T73" s="11">
        <f t="shared" si="3"/>
        <v>0</v>
      </c>
      <c r="U73" s="6">
        <v>17.145</v>
      </c>
      <c r="V73" s="11">
        <f t="shared" si="4"/>
        <v>0</v>
      </c>
      <c r="W73" s="9">
        <f t="shared" si="5"/>
        <v>0.89999999999999991</v>
      </c>
    </row>
    <row r="74" spans="1:23" hidden="1">
      <c r="A74">
        <v>73</v>
      </c>
      <c r="B74" t="s">
        <v>329</v>
      </c>
      <c r="C74" s="5">
        <v>42120</v>
      </c>
      <c r="D74" s="5">
        <v>42126</v>
      </c>
      <c r="E74" t="s">
        <v>132</v>
      </c>
      <c r="F74" t="s">
        <v>330</v>
      </c>
      <c r="G74" t="s">
        <v>331</v>
      </c>
      <c r="H74" t="s">
        <v>112</v>
      </c>
      <c r="I74" t="s">
        <v>113</v>
      </c>
      <c r="J74" t="s">
        <v>66</v>
      </c>
      <c r="K74" t="s">
        <v>332</v>
      </c>
      <c r="L74">
        <v>38109</v>
      </c>
      <c r="M74" t="s">
        <v>115</v>
      </c>
      <c r="N74" t="s">
        <v>333</v>
      </c>
      <c r="O74" t="s">
        <v>117</v>
      </c>
      <c r="P74" t="s">
        <v>35</v>
      </c>
      <c r="Q74" t="s">
        <v>118</v>
      </c>
      <c r="R74">
        <v>831.93600000000015</v>
      </c>
      <c r="S74">
        <v>8</v>
      </c>
      <c r="T74" s="11">
        <f t="shared" si="3"/>
        <v>0.05</v>
      </c>
      <c r="U74" s="6">
        <v>1996.6464000000003</v>
      </c>
      <c r="V74" s="11">
        <f t="shared" si="4"/>
        <v>41.596800000000009</v>
      </c>
      <c r="W74" s="9">
        <f t="shared" si="5"/>
        <v>2.4</v>
      </c>
    </row>
    <row r="75" spans="1:23" hidden="1">
      <c r="A75">
        <v>74</v>
      </c>
      <c r="B75" t="s">
        <v>329</v>
      </c>
      <c r="C75" s="5">
        <v>42120</v>
      </c>
      <c r="D75" s="5">
        <v>42126</v>
      </c>
      <c r="E75" t="s">
        <v>132</v>
      </c>
      <c r="F75" t="s">
        <v>330</v>
      </c>
      <c r="G75" t="s">
        <v>331</v>
      </c>
      <c r="H75" t="s">
        <v>112</v>
      </c>
      <c r="I75" t="s">
        <v>113</v>
      </c>
      <c r="J75" t="s">
        <v>66</v>
      </c>
      <c r="K75" t="s">
        <v>332</v>
      </c>
      <c r="L75">
        <v>38109</v>
      </c>
      <c r="M75" t="s">
        <v>115</v>
      </c>
      <c r="N75" t="s">
        <v>334</v>
      </c>
      <c r="O75" t="s">
        <v>117</v>
      </c>
      <c r="P75" t="s">
        <v>120</v>
      </c>
      <c r="Q75" t="s">
        <v>121</v>
      </c>
      <c r="R75">
        <v>97.04</v>
      </c>
      <c r="S75">
        <v>2</v>
      </c>
      <c r="T75" s="11">
        <f t="shared" si="3"/>
        <v>0</v>
      </c>
      <c r="U75" s="6">
        <v>58.224000000000004</v>
      </c>
      <c r="V75" s="11">
        <f t="shared" si="4"/>
        <v>0</v>
      </c>
      <c r="W75" s="9">
        <f t="shared" si="5"/>
        <v>0.6</v>
      </c>
    </row>
    <row r="76" spans="1:23" hidden="1">
      <c r="A76">
        <v>75</v>
      </c>
      <c r="B76" t="s">
        <v>329</v>
      </c>
      <c r="C76" s="5">
        <v>42120</v>
      </c>
      <c r="D76" s="5">
        <v>42126</v>
      </c>
      <c r="E76" t="s">
        <v>132</v>
      </c>
      <c r="F76" t="s">
        <v>330</v>
      </c>
      <c r="G76" t="s">
        <v>331</v>
      </c>
      <c r="H76" t="s">
        <v>112</v>
      </c>
      <c r="I76" t="s">
        <v>113</v>
      </c>
      <c r="J76" t="s">
        <v>66</v>
      </c>
      <c r="K76" t="s">
        <v>332</v>
      </c>
      <c r="L76">
        <v>38109</v>
      </c>
      <c r="M76" t="s">
        <v>115</v>
      </c>
      <c r="N76" t="s">
        <v>335</v>
      </c>
      <c r="O76" t="s">
        <v>117</v>
      </c>
      <c r="P76" t="s">
        <v>129</v>
      </c>
      <c r="Q76" t="s">
        <v>130</v>
      </c>
      <c r="R76">
        <v>72.784000000000006</v>
      </c>
      <c r="S76">
        <v>1</v>
      </c>
      <c r="T76" s="11">
        <f t="shared" si="3"/>
        <v>0</v>
      </c>
      <c r="U76" s="6">
        <v>21.8352</v>
      </c>
      <c r="V76" s="11">
        <f t="shared" si="4"/>
        <v>0</v>
      </c>
      <c r="W76" s="9">
        <f t="shared" si="5"/>
        <v>0.3</v>
      </c>
    </row>
    <row r="77" spans="1:23" hidden="1">
      <c r="A77">
        <v>76</v>
      </c>
      <c r="B77" t="s">
        <v>336</v>
      </c>
      <c r="C77" s="5">
        <v>43078</v>
      </c>
      <c r="D77" s="5">
        <v>43080</v>
      </c>
      <c r="E77" t="s">
        <v>231</v>
      </c>
      <c r="F77" t="s">
        <v>337</v>
      </c>
      <c r="G77" t="s">
        <v>338</v>
      </c>
      <c r="H77" t="s">
        <v>125</v>
      </c>
      <c r="I77" t="s">
        <v>113</v>
      </c>
      <c r="J77" t="s">
        <v>61</v>
      </c>
      <c r="K77" t="s">
        <v>1</v>
      </c>
      <c r="L77">
        <v>77041</v>
      </c>
      <c r="M77" t="s">
        <v>174</v>
      </c>
      <c r="N77" t="s">
        <v>339</v>
      </c>
      <c r="O77" t="s">
        <v>117</v>
      </c>
      <c r="P77" t="s">
        <v>35</v>
      </c>
      <c r="Q77" t="s">
        <v>136</v>
      </c>
      <c r="R77">
        <v>1.248</v>
      </c>
      <c r="S77">
        <v>3</v>
      </c>
      <c r="T77" s="11">
        <f t="shared" si="3"/>
        <v>0</v>
      </c>
      <c r="U77" s="6">
        <v>1.1232</v>
      </c>
      <c r="V77" s="11">
        <f t="shared" si="4"/>
        <v>0</v>
      </c>
      <c r="W77" s="9">
        <f t="shared" si="5"/>
        <v>0.9</v>
      </c>
    </row>
    <row r="78" spans="1:23" hidden="1">
      <c r="A78">
        <v>77</v>
      </c>
      <c r="B78" t="s">
        <v>336</v>
      </c>
      <c r="C78" s="5">
        <v>43078</v>
      </c>
      <c r="D78" s="5">
        <v>43080</v>
      </c>
      <c r="E78" t="s">
        <v>231</v>
      </c>
      <c r="F78" t="s">
        <v>337</v>
      </c>
      <c r="G78" t="s">
        <v>338</v>
      </c>
      <c r="H78" t="s">
        <v>125</v>
      </c>
      <c r="I78" t="s">
        <v>113</v>
      </c>
      <c r="J78" t="s">
        <v>61</v>
      </c>
      <c r="K78" t="s">
        <v>1</v>
      </c>
      <c r="L78">
        <v>77041</v>
      </c>
      <c r="M78" t="s">
        <v>174</v>
      </c>
      <c r="N78" t="s">
        <v>340</v>
      </c>
      <c r="O78" t="s">
        <v>117</v>
      </c>
      <c r="P78" t="s">
        <v>138</v>
      </c>
      <c r="Q78" t="s">
        <v>139</v>
      </c>
      <c r="R78">
        <v>9.7080000000000002</v>
      </c>
      <c r="S78">
        <v>3</v>
      </c>
      <c r="T78" s="11">
        <f t="shared" si="3"/>
        <v>0</v>
      </c>
      <c r="U78" s="6">
        <v>8.7371999999999996</v>
      </c>
      <c r="V78" s="11">
        <f t="shared" si="4"/>
        <v>0</v>
      </c>
      <c r="W78" s="9">
        <f t="shared" si="5"/>
        <v>0.89999999999999991</v>
      </c>
    </row>
    <row r="79" spans="1:23" hidden="1">
      <c r="A79">
        <v>78</v>
      </c>
      <c r="B79" t="s">
        <v>336</v>
      </c>
      <c r="C79" s="5">
        <v>43078</v>
      </c>
      <c r="D79" s="5">
        <v>43080</v>
      </c>
      <c r="E79" t="s">
        <v>231</v>
      </c>
      <c r="F79" t="s">
        <v>337</v>
      </c>
      <c r="G79" t="s">
        <v>338</v>
      </c>
      <c r="H79" t="s">
        <v>125</v>
      </c>
      <c r="I79" t="s">
        <v>113</v>
      </c>
      <c r="J79" t="s">
        <v>61</v>
      </c>
      <c r="K79" t="s">
        <v>1</v>
      </c>
      <c r="L79">
        <v>77041</v>
      </c>
      <c r="M79" t="s">
        <v>174</v>
      </c>
      <c r="N79" t="s">
        <v>341</v>
      </c>
      <c r="O79" t="s">
        <v>117</v>
      </c>
      <c r="P79" t="s">
        <v>144</v>
      </c>
      <c r="Q79" t="s">
        <v>145</v>
      </c>
      <c r="R79">
        <v>27.24</v>
      </c>
      <c r="S79">
        <v>3</v>
      </c>
      <c r="T79" s="11">
        <f t="shared" si="3"/>
        <v>0</v>
      </c>
      <c r="U79" s="6">
        <v>24.515999999999998</v>
      </c>
      <c r="V79" s="11">
        <f t="shared" si="4"/>
        <v>0</v>
      </c>
      <c r="W79" s="9">
        <f t="shared" si="5"/>
        <v>0.9</v>
      </c>
    </row>
    <row r="80" spans="1:23" hidden="1">
      <c r="A80">
        <v>79</v>
      </c>
      <c r="B80" t="s">
        <v>342</v>
      </c>
      <c r="C80" s="5">
        <v>41969</v>
      </c>
      <c r="D80" s="5">
        <v>41974</v>
      </c>
      <c r="E80" t="s">
        <v>109</v>
      </c>
      <c r="F80" t="s">
        <v>330</v>
      </c>
      <c r="G80" t="s">
        <v>331</v>
      </c>
      <c r="H80" t="s">
        <v>112</v>
      </c>
      <c r="I80" t="s">
        <v>113</v>
      </c>
      <c r="J80" t="s">
        <v>61</v>
      </c>
      <c r="K80" t="s">
        <v>1</v>
      </c>
      <c r="L80">
        <v>77070</v>
      </c>
      <c r="M80" t="s">
        <v>174</v>
      </c>
      <c r="N80" t="s">
        <v>343</v>
      </c>
      <c r="O80" t="s">
        <v>117</v>
      </c>
      <c r="P80" t="s">
        <v>35</v>
      </c>
      <c r="Q80" t="s">
        <v>147</v>
      </c>
      <c r="R80">
        <v>19.3</v>
      </c>
      <c r="S80">
        <v>5</v>
      </c>
      <c r="T80" s="11">
        <f t="shared" si="3"/>
        <v>0.05</v>
      </c>
      <c r="U80" s="6">
        <v>28.95</v>
      </c>
      <c r="V80" s="11">
        <f t="shared" si="4"/>
        <v>0.96500000000000008</v>
      </c>
      <c r="W80" s="9">
        <f t="shared" si="5"/>
        <v>1.5</v>
      </c>
    </row>
    <row r="81" spans="1:23" hidden="1">
      <c r="A81">
        <v>80</v>
      </c>
      <c r="B81" t="s">
        <v>344</v>
      </c>
      <c r="C81" s="5">
        <v>42533</v>
      </c>
      <c r="D81" s="5">
        <v>42536</v>
      </c>
      <c r="E81" t="s">
        <v>231</v>
      </c>
      <c r="F81" t="s">
        <v>345</v>
      </c>
      <c r="G81" t="s">
        <v>346</v>
      </c>
      <c r="H81" t="s">
        <v>125</v>
      </c>
      <c r="I81" t="s">
        <v>113</v>
      </c>
      <c r="J81" t="s">
        <v>50</v>
      </c>
      <c r="K81" t="s">
        <v>347</v>
      </c>
      <c r="L81">
        <v>35601</v>
      </c>
      <c r="M81" t="s">
        <v>115</v>
      </c>
      <c r="N81" t="s">
        <v>348</v>
      </c>
      <c r="O81" t="s">
        <v>117</v>
      </c>
      <c r="P81" t="s">
        <v>35</v>
      </c>
      <c r="Q81" t="s">
        <v>149</v>
      </c>
      <c r="R81">
        <v>208.16</v>
      </c>
      <c r="S81">
        <v>1</v>
      </c>
      <c r="T81" s="11">
        <f t="shared" si="3"/>
        <v>0</v>
      </c>
      <c r="U81" s="6">
        <v>62.447999999999993</v>
      </c>
      <c r="V81" s="11">
        <f t="shared" si="4"/>
        <v>0</v>
      </c>
      <c r="W81" s="9">
        <f t="shared" si="5"/>
        <v>0.3</v>
      </c>
    </row>
    <row r="82" spans="1:23" hidden="1">
      <c r="A82">
        <v>81</v>
      </c>
      <c r="B82" t="s">
        <v>344</v>
      </c>
      <c r="C82" s="5">
        <v>42533</v>
      </c>
      <c r="D82" s="5">
        <v>42536</v>
      </c>
      <c r="E82" t="s">
        <v>231</v>
      </c>
      <c r="F82" t="s">
        <v>345</v>
      </c>
      <c r="G82" t="s">
        <v>346</v>
      </c>
      <c r="H82" t="s">
        <v>125</v>
      </c>
      <c r="I82" t="s">
        <v>113</v>
      </c>
      <c r="J82" t="s">
        <v>50</v>
      </c>
      <c r="K82" t="s">
        <v>347</v>
      </c>
      <c r="L82">
        <v>35601</v>
      </c>
      <c r="M82" t="s">
        <v>115</v>
      </c>
      <c r="N82" t="s">
        <v>349</v>
      </c>
      <c r="O82" t="s">
        <v>117</v>
      </c>
      <c r="P82" t="s">
        <v>129</v>
      </c>
      <c r="Q82" t="s">
        <v>151</v>
      </c>
      <c r="R82">
        <v>16.739999999999998</v>
      </c>
      <c r="S82">
        <v>3</v>
      </c>
      <c r="T82" s="11">
        <f t="shared" si="3"/>
        <v>0</v>
      </c>
      <c r="U82" s="6">
        <v>15.065999999999999</v>
      </c>
      <c r="V82" s="11">
        <f t="shared" si="4"/>
        <v>0</v>
      </c>
      <c r="W82" s="9">
        <f t="shared" si="5"/>
        <v>0.9</v>
      </c>
    </row>
    <row r="83" spans="1:23" hidden="1">
      <c r="A83">
        <v>82</v>
      </c>
      <c r="B83" t="s">
        <v>350</v>
      </c>
      <c r="C83" s="5">
        <v>41924</v>
      </c>
      <c r="D83" s="5">
        <v>41928</v>
      </c>
      <c r="E83" t="s">
        <v>132</v>
      </c>
      <c r="F83" t="s">
        <v>351</v>
      </c>
      <c r="G83" t="s">
        <v>352</v>
      </c>
      <c r="H83" t="s">
        <v>112</v>
      </c>
      <c r="I83" t="s">
        <v>113</v>
      </c>
      <c r="J83" t="s">
        <v>79</v>
      </c>
      <c r="K83" t="s">
        <v>126</v>
      </c>
      <c r="L83">
        <v>94122</v>
      </c>
      <c r="M83" t="s">
        <v>127</v>
      </c>
      <c r="N83" t="s">
        <v>353</v>
      </c>
      <c r="O83" t="s">
        <v>117</v>
      </c>
      <c r="P83" t="s">
        <v>153</v>
      </c>
      <c r="Q83" t="s">
        <v>154</v>
      </c>
      <c r="R83">
        <v>14.9</v>
      </c>
      <c r="S83">
        <v>5</v>
      </c>
      <c r="T83" s="11">
        <f t="shared" si="3"/>
        <v>0.05</v>
      </c>
      <c r="U83" s="6">
        <v>22.349999999999998</v>
      </c>
      <c r="V83" s="11">
        <f t="shared" si="4"/>
        <v>0.74500000000000011</v>
      </c>
      <c r="W83" s="9">
        <f t="shared" si="5"/>
        <v>1.4999999999999998</v>
      </c>
    </row>
    <row r="84" spans="1:23" hidden="1">
      <c r="A84">
        <v>83</v>
      </c>
      <c r="B84" t="s">
        <v>350</v>
      </c>
      <c r="C84" s="5">
        <v>41924</v>
      </c>
      <c r="D84" s="5">
        <v>41928</v>
      </c>
      <c r="E84" t="s">
        <v>132</v>
      </c>
      <c r="F84" t="s">
        <v>351</v>
      </c>
      <c r="G84" t="s">
        <v>352</v>
      </c>
      <c r="H84" t="s">
        <v>112</v>
      </c>
      <c r="I84" t="s">
        <v>113</v>
      </c>
      <c r="J84" t="s">
        <v>79</v>
      </c>
      <c r="K84" t="s">
        <v>126</v>
      </c>
      <c r="L84">
        <v>94122</v>
      </c>
      <c r="M84" t="s">
        <v>127</v>
      </c>
      <c r="N84" t="s">
        <v>354</v>
      </c>
      <c r="O84" t="s">
        <v>117</v>
      </c>
      <c r="P84" t="s">
        <v>144</v>
      </c>
      <c r="Q84" t="s">
        <v>156</v>
      </c>
      <c r="R84">
        <v>21.39</v>
      </c>
      <c r="S84">
        <v>1</v>
      </c>
      <c r="T84" s="11">
        <f t="shared" si="3"/>
        <v>0</v>
      </c>
      <c r="U84" s="6">
        <v>6.4169999999999998</v>
      </c>
      <c r="V84" s="11">
        <f t="shared" si="4"/>
        <v>0</v>
      </c>
      <c r="W84" s="9">
        <f t="shared" si="5"/>
        <v>0.3</v>
      </c>
    </row>
    <row r="85" spans="1:23" hidden="1">
      <c r="A85">
        <v>84</v>
      </c>
      <c r="B85" t="s">
        <v>355</v>
      </c>
      <c r="C85" s="5">
        <v>42250</v>
      </c>
      <c r="D85" s="5">
        <v>42255</v>
      </c>
      <c r="E85" t="s">
        <v>132</v>
      </c>
      <c r="F85" t="s">
        <v>356</v>
      </c>
      <c r="G85" t="s">
        <v>357</v>
      </c>
      <c r="H85" t="s">
        <v>125</v>
      </c>
      <c r="I85" t="s">
        <v>113</v>
      </c>
      <c r="J85" t="s">
        <v>358</v>
      </c>
      <c r="K85" t="s">
        <v>163</v>
      </c>
      <c r="L85">
        <v>27707</v>
      </c>
      <c r="M85" t="s">
        <v>115</v>
      </c>
      <c r="N85" t="s">
        <v>359</v>
      </c>
      <c r="O85" t="s">
        <v>117</v>
      </c>
      <c r="P85" t="s">
        <v>158</v>
      </c>
      <c r="Q85" t="s">
        <v>159</v>
      </c>
      <c r="R85">
        <v>200.98400000000001</v>
      </c>
      <c r="S85">
        <v>7</v>
      </c>
      <c r="T85" s="11">
        <f t="shared" si="3"/>
        <v>0.05</v>
      </c>
      <c r="U85" s="6">
        <v>422.06640000000004</v>
      </c>
      <c r="V85" s="11">
        <f t="shared" si="4"/>
        <v>10.049200000000001</v>
      </c>
      <c r="W85" s="9">
        <f t="shared" si="5"/>
        <v>2.1</v>
      </c>
    </row>
    <row r="86" spans="1:23" hidden="1">
      <c r="A86">
        <v>85</v>
      </c>
      <c r="B86" t="s">
        <v>360</v>
      </c>
      <c r="C86" s="5">
        <v>43052</v>
      </c>
      <c r="D86" s="5">
        <v>43055</v>
      </c>
      <c r="E86" t="s">
        <v>231</v>
      </c>
      <c r="F86" t="s">
        <v>361</v>
      </c>
      <c r="G86" t="s">
        <v>362</v>
      </c>
      <c r="H86" t="s">
        <v>173</v>
      </c>
      <c r="I86" t="s">
        <v>113</v>
      </c>
      <c r="J86" t="s">
        <v>43</v>
      </c>
      <c r="K86" t="s">
        <v>247</v>
      </c>
      <c r="L86">
        <v>60623</v>
      </c>
      <c r="M86" t="s">
        <v>174</v>
      </c>
      <c r="N86" t="s">
        <v>363</v>
      </c>
      <c r="O86" t="s">
        <v>117</v>
      </c>
      <c r="P86" t="s">
        <v>35</v>
      </c>
      <c r="Q86" t="s">
        <v>118</v>
      </c>
      <c r="R86">
        <v>230.376</v>
      </c>
      <c r="S86">
        <v>3</v>
      </c>
      <c r="T86" s="11">
        <f t="shared" si="3"/>
        <v>0</v>
      </c>
      <c r="U86" s="6">
        <v>207.33840000000001</v>
      </c>
      <c r="V86" s="11">
        <f t="shared" si="4"/>
        <v>0</v>
      </c>
      <c r="W86" s="9">
        <f t="shared" si="5"/>
        <v>0.9</v>
      </c>
    </row>
    <row r="87" spans="1:23" hidden="1">
      <c r="A87">
        <v>86</v>
      </c>
      <c r="B87" t="s">
        <v>364</v>
      </c>
      <c r="C87" s="5">
        <v>42883</v>
      </c>
      <c r="D87" s="5">
        <v>42885</v>
      </c>
      <c r="E87" t="s">
        <v>109</v>
      </c>
      <c r="F87" t="s">
        <v>265</v>
      </c>
      <c r="G87" t="s">
        <v>266</v>
      </c>
      <c r="H87" t="s">
        <v>112</v>
      </c>
      <c r="I87" t="s">
        <v>113</v>
      </c>
      <c r="J87" t="s">
        <v>46</v>
      </c>
      <c r="K87" t="s">
        <v>365</v>
      </c>
      <c r="L87">
        <v>29203</v>
      </c>
      <c r="M87" t="s">
        <v>115</v>
      </c>
      <c r="N87" t="s">
        <v>366</v>
      </c>
      <c r="O87" t="s">
        <v>117</v>
      </c>
      <c r="P87" t="s">
        <v>120</v>
      </c>
      <c r="Q87" t="s">
        <v>121</v>
      </c>
      <c r="R87">
        <v>301.95999999999998</v>
      </c>
      <c r="S87">
        <v>2</v>
      </c>
      <c r="T87" s="11">
        <f t="shared" si="3"/>
        <v>0</v>
      </c>
      <c r="U87" s="6">
        <v>181.17599999999999</v>
      </c>
      <c r="V87" s="11">
        <f t="shared" si="4"/>
        <v>0</v>
      </c>
      <c r="W87" s="9">
        <f t="shared" si="5"/>
        <v>0.6</v>
      </c>
    </row>
    <row r="88" spans="1:23" hidden="1">
      <c r="A88">
        <v>87</v>
      </c>
      <c r="B88" t="s">
        <v>367</v>
      </c>
      <c r="C88" s="5">
        <v>43034</v>
      </c>
      <c r="D88" s="5">
        <v>43041</v>
      </c>
      <c r="E88" t="s">
        <v>132</v>
      </c>
      <c r="F88" t="s">
        <v>368</v>
      </c>
      <c r="G88" t="s">
        <v>369</v>
      </c>
      <c r="H88" t="s">
        <v>112</v>
      </c>
      <c r="I88" t="s">
        <v>113</v>
      </c>
      <c r="J88" t="s">
        <v>75</v>
      </c>
      <c r="K88" t="s">
        <v>261</v>
      </c>
      <c r="L88">
        <v>55901</v>
      </c>
      <c r="M88" t="s">
        <v>174</v>
      </c>
      <c r="N88" t="s">
        <v>370</v>
      </c>
      <c r="O88" t="s">
        <v>117</v>
      </c>
      <c r="P88" t="s">
        <v>129</v>
      </c>
      <c r="Q88" t="s">
        <v>130</v>
      </c>
      <c r="R88">
        <v>19.989999999999998</v>
      </c>
      <c r="S88">
        <v>1</v>
      </c>
      <c r="T88" s="11">
        <f t="shared" si="3"/>
        <v>0</v>
      </c>
      <c r="U88" s="6">
        <v>5.996999999999999</v>
      </c>
      <c r="V88" s="11">
        <f t="shared" si="4"/>
        <v>0</v>
      </c>
      <c r="W88" s="9">
        <f t="shared" si="5"/>
        <v>0.3</v>
      </c>
    </row>
    <row r="89" spans="1:23" hidden="1">
      <c r="A89">
        <v>88</v>
      </c>
      <c r="B89" t="s">
        <v>367</v>
      </c>
      <c r="C89" s="5">
        <v>43034</v>
      </c>
      <c r="D89" s="5">
        <v>43041</v>
      </c>
      <c r="E89" t="s">
        <v>132</v>
      </c>
      <c r="F89" t="s">
        <v>368</v>
      </c>
      <c r="G89" t="s">
        <v>369</v>
      </c>
      <c r="H89" t="s">
        <v>112</v>
      </c>
      <c r="I89" t="s">
        <v>113</v>
      </c>
      <c r="J89" t="s">
        <v>75</v>
      </c>
      <c r="K89" t="s">
        <v>261</v>
      </c>
      <c r="L89">
        <v>55901</v>
      </c>
      <c r="M89" t="s">
        <v>174</v>
      </c>
      <c r="N89" t="s">
        <v>371</v>
      </c>
      <c r="O89" t="s">
        <v>117</v>
      </c>
      <c r="P89" t="s">
        <v>35</v>
      </c>
      <c r="Q89" t="s">
        <v>136</v>
      </c>
      <c r="R89">
        <v>6.16</v>
      </c>
      <c r="S89">
        <v>2</v>
      </c>
      <c r="T89" s="11">
        <f t="shared" si="3"/>
        <v>0</v>
      </c>
      <c r="U89" s="6">
        <v>3.6959999999999997</v>
      </c>
      <c r="V89" s="11">
        <f t="shared" si="4"/>
        <v>0</v>
      </c>
      <c r="W89" s="9">
        <f t="shared" si="5"/>
        <v>0.6</v>
      </c>
    </row>
    <row r="90" spans="1:23" hidden="1">
      <c r="A90">
        <v>89</v>
      </c>
      <c r="B90" t="s">
        <v>372</v>
      </c>
      <c r="C90" s="5">
        <v>42465</v>
      </c>
      <c r="D90" s="5">
        <v>42470</v>
      </c>
      <c r="E90" t="s">
        <v>109</v>
      </c>
      <c r="F90" t="s">
        <v>373</v>
      </c>
      <c r="G90" t="s">
        <v>374</v>
      </c>
      <c r="H90" t="s">
        <v>173</v>
      </c>
      <c r="I90" t="s">
        <v>113</v>
      </c>
      <c r="J90" t="s">
        <v>61</v>
      </c>
      <c r="K90" t="s">
        <v>1</v>
      </c>
      <c r="L90">
        <v>77095</v>
      </c>
      <c r="M90" t="s">
        <v>174</v>
      </c>
      <c r="N90" t="s">
        <v>375</v>
      </c>
      <c r="O90" t="s">
        <v>117</v>
      </c>
      <c r="P90" t="s">
        <v>138</v>
      </c>
      <c r="Q90" t="s">
        <v>139</v>
      </c>
      <c r="R90">
        <v>158.36799999999999</v>
      </c>
      <c r="S90">
        <v>7</v>
      </c>
      <c r="T90" s="11">
        <f t="shared" si="3"/>
        <v>0.05</v>
      </c>
      <c r="U90" s="6">
        <v>332.57279999999997</v>
      </c>
      <c r="V90" s="11">
        <f t="shared" si="4"/>
        <v>7.9184000000000001</v>
      </c>
      <c r="W90" s="9">
        <f t="shared" si="5"/>
        <v>2.1</v>
      </c>
    </row>
    <row r="91" spans="1:23" hidden="1">
      <c r="A91">
        <v>90</v>
      </c>
      <c r="B91" t="s">
        <v>376</v>
      </c>
      <c r="C91" s="5">
        <v>42630</v>
      </c>
      <c r="D91" s="5">
        <v>42635</v>
      </c>
      <c r="E91" t="s">
        <v>132</v>
      </c>
      <c r="F91" t="s">
        <v>377</v>
      </c>
      <c r="G91" t="s">
        <v>378</v>
      </c>
      <c r="H91" t="s">
        <v>125</v>
      </c>
      <c r="I91" t="s">
        <v>113</v>
      </c>
      <c r="J91" t="s">
        <v>63</v>
      </c>
      <c r="K91" t="s">
        <v>126</v>
      </c>
      <c r="L91">
        <v>90036</v>
      </c>
      <c r="M91" t="s">
        <v>127</v>
      </c>
      <c r="N91" t="s">
        <v>379</v>
      </c>
      <c r="O91" t="s">
        <v>117</v>
      </c>
      <c r="P91" t="s">
        <v>144</v>
      </c>
      <c r="Q91" t="s">
        <v>145</v>
      </c>
      <c r="R91">
        <v>20.100000000000001</v>
      </c>
      <c r="S91">
        <v>3</v>
      </c>
      <c r="T91" s="11">
        <f t="shared" si="3"/>
        <v>0</v>
      </c>
      <c r="U91" s="6">
        <v>18.09</v>
      </c>
      <c r="V91" s="11">
        <f t="shared" si="4"/>
        <v>0</v>
      </c>
      <c r="W91" s="9">
        <f t="shared" si="5"/>
        <v>0.89999999999999991</v>
      </c>
    </row>
    <row r="92" spans="1:23">
      <c r="A92">
        <v>91</v>
      </c>
      <c r="B92" t="s">
        <v>376</v>
      </c>
      <c r="C92" s="5">
        <v>42630</v>
      </c>
      <c r="D92" s="5">
        <v>42635</v>
      </c>
      <c r="E92" t="s">
        <v>132</v>
      </c>
      <c r="F92" t="s">
        <v>377</v>
      </c>
      <c r="G92" t="s">
        <v>378</v>
      </c>
      <c r="H92" t="s">
        <v>125</v>
      </c>
      <c r="I92" t="s">
        <v>113</v>
      </c>
      <c r="J92" t="s">
        <v>63</v>
      </c>
      <c r="K92" t="s">
        <v>126</v>
      </c>
      <c r="L92">
        <v>90036</v>
      </c>
      <c r="M92" t="s">
        <v>127</v>
      </c>
      <c r="N92" t="s">
        <v>248</v>
      </c>
      <c r="O92" t="s">
        <v>117</v>
      </c>
      <c r="P92" t="s">
        <v>35</v>
      </c>
      <c r="Q92" t="s">
        <v>147</v>
      </c>
      <c r="R92" s="9">
        <v>73.584000000000003</v>
      </c>
      <c r="S92">
        <v>2</v>
      </c>
      <c r="T92" s="11">
        <f t="shared" si="3"/>
        <v>0</v>
      </c>
      <c r="U92" s="9">
        <v>44.150399999999998</v>
      </c>
      <c r="V92" s="9">
        <f t="shared" si="4"/>
        <v>0</v>
      </c>
      <c r="W92" s="9">
        <f t="shared" si="5"/>
        <v>0.6</v>
      </c>
    </row>
    <row r="93" spans="1:23">
      <c r="A93">
        <v>92</v>
      </c>
      <c r="B93" t="s">
        <v>376</v>
      </c>
      <c r="C93" s="5">
        <v>42630</v>
      </c>
      <c r="D93" s="5">
        <v>42635</v>
      </c>
      <c r="E93" t="s">
        <v>132</v>
      </c>
      <c r="F93" t="s">
        <v>377</v>
      </c>
      <c r="G93" t="s">
        <v>378</v>
      </c>
      <c r="H93" t="s">
        <v>125</v>
      </c>
      <c r="I93" t="s">
        <v>113</v>
      </c>
      <c r="J93" t="s">
        <v>63</v>
      </c>
      <c r="K93" t="s">
        <v>126</v>
      </c>
      <c r="L93">
        <v>90036</v>
      </c>
      <c r="M93" t="s">
        <v>127</v>
      </c>
      <c r="N93" t="s">
        <v>380</v>
      </c>
      <c r="O93" t="s">
        <v>117</v>
      </c>
      <c r="P93" t="s">
        <v>35</v>
      </c>
      <c r="Q93" t="s">
        <v>149</v>
      </c>
      <c r="R93" s="9">
        <v>6.48</v>
      </c>
      <c r="S93">
        <v>1</v>
      </c>
      <c r="T93" s="11">
        <f t="shared" si="3"/>
        <v>0</v>
      </c>
      <c r="U93" s="9">
        <v>1.944</v>
      </c>
      <c r="V93" s="9">
        <f t="shared" si="4"/>
        <v>0</v>
      </c>
      <c r="W93" s="9">
        <f t="shared" si="5"/>
        <v>0.3</v>
      </c>
    </row>
    <row r="94" spans="1:23" hidden="1">
      <c r="A94">
        <v>93</v>
      </c>
      <c r="B94" t="s">
        <v>381</v>
      </c>
      <c r="C94" s="5">
        <v>42035</v>
      </c>
      <c r="D94" s="5">
        <v>42040</v>
      </c>
      <c r="E94" t="s">
        <v>109</v>
      </c>
      <c r="F94" t="s">
        <v>382</v>
      </c>
      <c r="G94" t="s">
        <v>383</v>
      </c>
      <c r="H94" t="s">
        <v>112</v>
      </c>
      <c r="I94" t="s">
        <v>113</v>
      </c>
      <c r="J94" t="s">
        <v>384</v>
      </c>
      <c r="K94" t="s">
        <v>261</v>
      </c>
      <c r="L94">
        <v>55407</v>
      </c>
      <c r="M94" t="s">
        <v>174</v>
      </c>
      <c r="N94" t="s">
        <v>385</v>
      </c>
      <c r="O94" t="s">
        <v>117</v>
      </c>
      <c r="P94" t="s">
        <v>129</v>
      </c>
      <c r="Q94" t="s">
        <v>151</v>
      </c>
      <c r="R94">
        <v>12.96</v>
      </c>
      <c r="S94">
        <v>2</v>
      </c>
      <c r="T94" s="11">
        <f t="shared" si="3"/>
        <v>0</v>
      </c>
      <c r="U94" s="6">
        <v>7.7759999999999998</v>
      </c>
      <c r="V94" s="11">
        <f t="shared" si="4"/>
        <v>0</v>
      </c>
      <c r="W94" s="9">
        <f t="shared" si="5"/>
        <v>0.6</v>
      </c>
    </row>
    <row r="95" spans="1:23" hidden="1">
      <c r="A95">
        <v>94</v>
      </c>
      <c r="B95" t="s">
        <v>381</v>
      </c>
      <c r="C95" s="5">
        <v>42035</v>
      </c>
      <c r="D95" s="5">
        <v>42040</v>
      </c>
      <c r="E95" t="s">
        <v>109</v>
      </c>
      <c r="F95" t="s">
        <v>382</v>
      </c>
      <c r="G95" t="s">
        <v>383</v>
      </c>
      <c r="H95" t="s">
        <v>112</v>
      </c>
      <c r="I95" t="s">
        <v>113</v>
      </c>
      <c r="J95" t="s">
        <v>384</v>
      </c>
      <c r="K95" t="s">
        <v>261</v>
      </c>
      <c r="L95">
        <v>55407</v>
      </c>
      <c r="M95" t="s">
        <v>174</v>
      </c>
      <c r="N95" t="s">
        <v>386</v>
      </c>
      <c r="O95" t="s">
        <v>117</v>
      </c>
      <c r="P95" t="s">
        <v>153</v>
      </c>
      <c r="Q95" t="s">
        <v>154</v>
      </c>
      <c r="R95">
        <v>53.34</v>
      </c>
      <c r="S95">
        <v>3</v>
      </c>
      <c r="T95" s="11">
        <f t="shared" si="3"/>
        <v>0</v>
      </c>
      <c r="U95" s="6">
        <v>48.006</v>
      </c>
      <c r="V95" s="11">
        <f t="shared" si="4"/>
        <v>0</v>
      </c>
      <c r="W95" s="9">
        <f t="shared" si="5"/>
        <v>0.89999999999999991</v>
      </c>
    </row>
    <row r="96" spans="1:23" hidden="1">
      <c r="A96">
        <v>95</v>
      </c>
      <c r="B96" t="s">
        <v>381</v>
      </c>
      <c r="C96" s="5">
        <v>42035</v>
      </c>
      <c r="D96" s="5">
        <v>42040</v>
      </c>
      <c r="E96" t="s">
        <v>109</v>
      </c>
      <c r="F96" t="s">
        <v>382</v>
      </c>
      <c r="G96" t="s">
        <v>383</v>
      </c>
      <c r="H96" t="s">
        <v>112</v>
      </c>
      <c r="I96" t="s">
        <v>113</v>
      </c>
      <c r="J96" t="s">
        <v>384</v>
      </c>
      <c r="K96" t="s">
        <v>261</v>
      </c>
      <c r="L96">
        <v>55407</v>
      </c>
      <c r="M96" t="s">
        <v>174</v>
      </c>
      <c r="N96" t="s">
        <v>387</v>
      </c>
      <c r="O96" t="s">
        <v>117</v>
      </c>
      <c r="P96" t="s">
        <v>144</v>
      </c>
      <c r="Q96" t="s">
        <v>156</v>
      </c>
      <c r="R96">
        <v>32.96</v>
      </c>
      <c r="S96">
        <v>2</v>
      </c>
      <c r="T96" s="11">
        <f t="shared" si="3"/>
        <v>0</v>
      </c>
      <c r="U96" s="6">
        <v>19.776</v>
      </c>
      <c r="V96" s="11">
        <f t="shared" si="4"/>
        <v>0</v>
      </c>
      <c r="W96" s="9">
        <f t="shared" si="5"/>
        <v>0.6</v>
      </c>
    </row>
    <row r="97" spans="1:23" hidden="1">
      <c r="A97">
        <v>96</v>
      </c>
      <c r="B97" t="s">
        <v>388</v>
      </c>
      <c r="C97" s="5">
        <v>43045</v>
      </c>
      <c r="D97" s="5">
        <v>43051</v>
      </c>
      <c r="E97" t="s">
        <v>132</v>
      </c>
      <c r="F97" t="s">
        <v>389</v>
      </c>
      <c r="G97" t="s">
        <v>390</v>
      </c>
      <c r="H97" t="s">
        <v>173</v>
      </c>
      <c r="I97" t="s">
        <v>113</v>
      </c>
      <c r="J97" t="s">
        <v>73</v>
      </c>
      <c r="K97" t="s">
        <v>391</v>
      </c>
      <c r="L97">
        <v>97206</v>
      </c>
      <c r="M97" t="s">
        <v>127</v>
      </c>
      <c r="N97" t="s">
        <v>392</v>
      </c>
      <c r="O97" t="s">
        <v>117</v>
      </c>
      <c r="P97" t="s">
        <v>158</v>
      </c>
      <c r="Q97" t="s">
        <v>159</v>
      </c>
      <c r="R97">
        <v>5.6820000000000013</v>
      </c>
      <c r="S97">
        <v>1</v>
      </c>
      <c r="T97" s="11">
        <f t="shared" si="3"/>
        <v>0</v>
      </c>
      <c r="U97" s="6">
        <v>1.7046000000000003</v>
      </c>
      <c r="V97" s="11">
        <f t="shared" si="4"/>
        <v>0</v>
      </c>
      <c r="W97" s="9">
        <f t="shared" si="5"/>
        <v>0.3</v>
      </c>
    </row>
    <row r="98" spans="1:23" hidden="1">
      <c r="A98">
        <v>97</v>
      </c>
      <c r="B98" t="s">
        <v>393</v>
      </c>
      <c r="C98" s="5">
        <v>43048</v>
      </c>
      <c r="D98" s="5">
        <v>43050</v>
      </c>
      <c r="E98" t="s">
        <v>109</v>
      </c>
      <c r="F98" t="s">
        <v>394</v>
      </c>
      <c r="G98" t="s">
        <v>395</v>
      </c>
      <c r="H98" t="s">
        <v>173</v>
      </c>
      <c r="I98" t="s">
        <v>113</v>
      </c>
      <c r="J98" t="s">
        <v>69</v>
      </c>
      <c r="K98" t="s">
        <v>287</v>
      </c>
      <c r="L98">
        <v>10009</v>
      </c>
      <c r="M98" t="s">
        <v>206</v>
      </c>
      <c r="N98" t="s">
        <v>396</v>
      </c>
      <c r="O98" t="s">
        <v>117</v>
      </c>
      <c r="P98" t="s">
        <v>35</v>
      </c>
      <c r="Q98" t="s">
        <v>118</v>
      </c>
      <c r="R98">
        <v>96.53</v>
      </c>
      <c r="S98">
        <v>7</v>
      </c>
      <c r="T98" s="11">
        <f t="shared" si="3"/>
        <v>0.05</v>
      </c>
      <c r="U98" s="6">
        <v>202.71299999999999</v>
      </c>
      <c r="V98" s="11">
        <f t="shared" si="4"/>
        <v>4.8265000000000002</v>
      </c>
      <c r="W98" s="9">
        <f t="shared" si="5"/>
        <v>2.1</v>
      </c>
    </row>
    <row r="99" spans="1:23" hidden="1">
      <c r="A99">
        <v>98</v>
      </c>
      <c r="B99" t="s">
        <v>397</v>
      </c>
      <c r="C99" s="5">
        <v>42903</v>
      </c>
      <c r="D99" s="5">
        <v>42906</v>
      </c>
      <c r="E99" t="s">
        <v>231</v>
      </c>
      <c r="F99" t="s">
        <v>398</v>
      </c>
      <c r="G99" t="s">
        <v>399</v>
      </c>
      <c r="H99" t="s">
        <v>112</v>
      </c>
      <c r="I99" t="s">
        <v>113</v>
      </c>
      <c r="J99" t="s">
        <v>79</v>
      </c>
      <c r="K99" t="s">
        <v>126</v>
      </c>
      <c r="L99">
        <v>94122</v>
      </c>
      <c r="M99" t="s">
        <v>127</v>
      </c>
      <c r="N99" t="s">
        <v>400</v>
      </c>
      <c r="O99" t="s">
        <v>117</v>
      </c>
      <c r="P99" t="s">
        <v>120</v>
      </c>
      <c r="Q99" t="s">
        <v>121</v>
      </c>
      <c r="R99">
        <v>51.311999999999998</v>
      </c>
      <c r="S99">
        <v>3</v>
      </c>
      <c r="T99" s="11">
        <f t="shared" si="3"/>
        <v>0</v>
      </c>
      <c r="U99" s="6">
        <v>46.180799999999991</v>
      </c>
      <c r="V99" s="11">
        <f t="shared" si="4"/>
        <v>0</v>
      </c>
      <c r="W99" s="9">
        <f t="shared" si="5"/>
        <v>0.89999999999999991</v>
      </c>
    </row>
    <row r="100" spans="1:23" hidden="1">
      <c r="A100">
        <v>99</v>
      </c>
      <c r="B100" t="s">
        <v>401</v>
      </c>
      <c r="C100" s="5">
        <v>42619</v>
      </c>
      <c r="D100" s="5">
        <v>42624</v>
      </c>
      <c r="E100" t="s">
        <v>132</v>
      </c>
      <c r="F100" t="s">
        <v>402</v>
      </c>
      <c r="G100" t="s">
        <v>403</v>
      </c>
      <c r="H100" t="s">
        <v>125</v>
      </c>
      <c r="I100" t="s">
        <v>113</v>
      </c>
      <c r="J100" t="s">
        <v>404</v>
      </c>
      <c r="K100" t="s">
        <v>261</v>
      </c>
      <c r="L100">
        <v>55106</v>
      </c>
      <c r="M100" t="s">
        <v>174</v>
      </c>
      <c r="N100" t="s">
        <v>405</v>
      </c>
      <c r="O100" t="s">
        <v>117</v>
      </c>
      <c r="P100" t="s">
        <v>129</v>
      </c>
      <c r="Q100" t="s">
        <v>130</v>
      </c>
      <c r="R100">
        <v>77.88</v>
      </c>
      <c r="S100">
        <v>6</v>
      </c>
      <c r="T100" s="11">
        <f t="shared" si="3"/>
        <v>0.05</v>
      </c>
      <c r="U100" s="6">
        <v>140.184</v>
      </c>
      <c r="V100" s="11">
        <f t="shared" si="4"/>
        <v>3.8940000000000001</v>
      </c>
      <c r="W100" s="9">
        <f t="shared" si="5"/>
        <v>1.8</v>
      </c>
    </row>
    <row r="101" spans="1:23" hidden="1">
      <c r="A101">
        <v>100</v>
      </c>
      <c r="B101" t="s">
        <v>406</v>
      </c>
      <c r="C101" s="5">
        <v>42611</v>
      </c>
      <c r="D101" s="5">
        <v>42615</v>
      </c>
      <c r="E101" t="s">
        <v>132</v>
      </c>
      <c r="F101" t="s">
        <v>407</v>
      </c>
      <c r="G101" t="s">
        <v>408</v>
      </c>
      <c r="H101" t="s">
        <v>173</v>
      </c>
      <c r="I101" t="s">
        <v>113</v>
      </c>
      <c r="J101" t="s">
        <v>43</v>
      </c>
      <c r="K101" t="s">
        <v>247</v>
      </c>
      <c r="L101">
        <v>60610</v>
      </c>
      <c r="M101" t="s">
        <v>174</v>
      </c>
      <c r="N101" t="s">
        <v>409</v>
      </c>
      <c r="O101" t="s">
        <v>117</v>
      </c>
      <c r="P101" t="s">
        <v>35</v>
      </c>
      <c r="Q101" t="s">
        <v>136</v>
      </c>
      <c r="R101">
        <v>64.623999999999995</v>
      </c>
      <c r="S101">
        <v>7</v>
      </c>
      <c r="T101" s="11">
        <f t="shared" si="3"/>
        <v>0.05</v>
      </c>
      <c r="U101" s="6">
        <v>135.71039999999996</v>
      </c>
      <c r="V101" s="11">
        <f t="shared" si="4"/>
        <v>3.2311999999999999</v>
      </c>
      <c r="W101" s="9">
        <f t="shared" si="5"/>
        <v>2.0999999999999996</v>
      </c>
    </row>
    <row r="102" spans="1:23" hidden="1">
      <c r="A102">
        <v>101</v>
      </c>
      <c r="B102" t="s">
        <v>406</v>
      </c>
      <c r="C102" s="5">
        <v>42611</v>
      </c>
      <c r="D102" s="5">
        <v>42615</v>
      </c>
      <c r="E102" t="s">
        <v>132</v>
      </c>
      <c r="F102" t="s">
        <v>407</v>
      </c>
      <c r="G102" t="s">
        <v>408</v>
      </c>
      <c r="H102" t="s">
        <v>173</v>
      </c>
      <c r="I102" t="s">
        <v>113</v>
      </c>
      <c r="J102" t="s">
        <v>43</v>
      </c>
      <c r="K102" t="s">
        <v>247</v>
      </c>
      <c r="L102">
        <v>60610</v>
      </c>
      <c r="M102" t="s">
        <v>174</v>
      </c>
      <c r="N102" t="s">
        <v>410</v>
      </c>
      <c r="O102" t="s">
        <v>117</v>
      </c>
      <c r="P102" t="s">
        <v>138</v>
      </c>
      <c r="Q102" t="s">
        <v>139</v>
      </c>
      <c r="R102">
        <v>95.976000000000013</v>
      </c>
      <c r="S102">
        <v>3</v>
      </c>
      <c r="T102" s="11">
        <f t="shared" si="3"/>
        <v>0</v>
      </c>
      <c r="U102" s="6">
        <v>86.378400000000013</v>
      </c>
      <c r="V102" s="11">
        <f t="shared" si="4"/>
        <v>0</v>
      </c>
      <c r="W102" s="9">
        <f t="shared" si="5"/>
        <v>0.9</v>
      </c>
    </row>
    <row r="103" spans="1:23" hidden="1">
      <c r="A103">
        <v>102</v>
      </c>
      <c r="B103" t="s">
        <v>406</v>
      </c>
      <c r="C103" s="5">
        <v>42611</v>
      </c>
      <c r="D103" s="5">
        <v>42615</v>
      </c>
      <c r="E103" t="s">
        <v>132</v>
      </c>
      <c r="F103" t="s">
        <v>407</v>
      </c>
      <c r="G103" t="s">
        <v>408</v>
      </c>
      <c r="H103" t="s">
        <v>173</v>
      </c>
      <c r="I103" t="s">
        <v>113</v>
      </c>
      <c r="J103" t="s">
        <v>43</v>
      </c>
      <c r="K103" t="s">
        <v>247</v>
      </c>
      <c r="L103">
        <v>60610</v>
      </c>
      <c r="M103" t="s">
        <v>174</v>
      </c>
      <c r="N103" t="s">
        <v>411</v>
      </c>
      <c r="O103" t="s">
        <v>117</v>
      </c>
      <c r="P103" t="s">
        <v>144</v>
      </c>
      <c r="Q103" t="s">
        <v>145</v>
      </c>
      <c r="R103">
        <v>1.788</v>
      </c>
      <c r="S103">
        <v>3</v>
      </c>
      <c r="T103" s="11">
        <f t="shared" si="3"/>
        <v>0</v>
      </c>
      <c r="U103" s="6">
        <v>1.6092</v>
      </c>
      <c r="V103" s="11">
        <f t="shared" si="4"/>
        <v>0</v>
      </c>
      <c r="W103" s="9">
        <f t="shared" si="5"/>
        <v>0.89999999999999991</v>
      </c>
    </row>
    <row r="104" spans="1:23" hidden="1">
      <c r="A104">
        <v>103</v>
      </c>
      <c r="B104" t="s">
        <v>412</v>
      </c>
      <c r="C104" s="5">
        <v>42705</v>
      </c>
      <c r="D104" s="5">
        <v>42708</v>
      </c>
      <c r="E104" t="s">
        <v>109</v>
      </c>
      <c r="F104" t="s">
        <v>413</v>
      </c>
      <c r="G104" t="s">
        <v>414</v>
      </c>
      <c r="H104" t="s">
        <v>112</v>
      </c>
      <c r="I104" t="s">
        <v>113</v>
      </c>
      <c r="J104" t="s">
        <v>75</v>
      </c>
      <c r="K104" t="s">
        <v>261</v>
      </c>
      <c r="L104">
        <v>55901</v>
      </c>
      <c r="M104" t="s">
        <v>174</v>
      </c>
      <c r="N104" t="s">
        <v>415</v>
      </c>
      <c r="O104" t="s">
        <v>117</v>
      </c>
      <c r="P104" t="s">
        <v>35</v>
      </c>
      <c r="Q104" t="s">
        <v>147</v>
      </c>
      <c r="R104">
        <v>23.92</v>
      </c>
      <c r="S104">
        <v>4</v>
      </c>
      <c r="T104" s="11">
        <f t="shared" si="3"/>
        <v>0</v>
      </c>
      <c r="U104" s="6">
        <v>28.704000000000001</v>
      </c>
      <c r="V104" s="11">
        <f t="shared" si="4"/>
        <v>0</v>
      </c>
      <c r="W104" s="9">
        <f t="shared" si="5"/>
        <v>1.2</v>
      </c>
    </row>
    <row r="105" spans="1:23" hidden="1">
      <c r="A105">
        <v>104</v>
      </c>
      <c r="B105" t="s">
        <v>416</v>
      </c>
      <c r="C105" s="5">
        <v>42321</v>
      </c>
      <c r="D105" s="5">
        <v>42325</v>
      </c>
      <c r="E105" t="s">
        <v>132</v>
      </c>
      <c r="F105" t="s">
        <v>417</v>
      </c>
      <c r="G105" t="s">
        <v>418</v>
      </c>
      <c r="H105" t="s">
        <v>112</v>
      </c>
      <c r="I105" t="s">
        <v>113</v>
      </c>
      <c r="J105" t="s">
        <v>39</v>
      </c>
      <c r="K105" t="s">
        <v>419</v>
      </c>
      <c r="L105">
        <v>80013</v>
      </c>
      <c r="M105" t="s">
        <v>127</v>
      </c>
      <c r="N105" t="s">
        <v>420</v>
      </c>
      <c r="O105" t="s">
        <v>117</v>
      </c>
      <c r="P105" t="s">
        <v>35</v>
      </c>
      <c r="Q105" t="s">
        <v>149</v>
      </c>
      <c r="R105">
        <v>238.89599999999999</v>
      </c>
      <c r="S105">
        <v>6</v>
      </c>
      <c r="T105" s="11">
        <f t="shared" si="3"/>
        <v>0.05</v>
      </c>
      <c r="U105" s="6">
        <v>430.01279999999997</v>
      </c>
      <c r="V105" s="11">
        <f t="shared" si="4"/>
        <v>11.944800000000001</v>
      </c>
      <c r="W105" s="9">
        <f t="shared" si="5"/>
        <v>1.8</v>
      </c>
    </row>
    <row r="106" spans="1:23" hidden="1">
      <c r="A106">
        <v>105</v>
      </c>
      <c r="B106" t="s">
        <v>416</v>
      </c>
      <c r="C106" s="5">
        <v>42321</v>
      </c>
      <c r="D106" s="5">
        <v>42325</v>
      </c>
      <c r="E106" t="s">
        <v>132</v>
      </c>
      <c r="F106" t="s">
        <v>417</v>
      </c>
      <c r="G106" t="s">
        <v>418</v>
      </c>
      <c r="H106" t="s">
        <v>112</v>
      </c>
      <c r="I106" t="s">
        <v>113</v>
      </c>
      <c r="J106" t="s">
        <v>39</v>
      </c>
      <c r="K106" t="s">
        <v>419</v>
      </c>
      <c r="L106">
        <v>80013</v>
      </c>
      <c r="M106" t="s">
        <v>127</v>
      </c>
      <c r="N106" t="s">
        <v>421</v>
      </c>
      <c r="O106" t="s">
        <v>117</v>
      </c>
      <c r="P106" t="s">
        <v>129</v>
      </c>
      <c r="Q106" t="s">
        <v>151</v>
      </c>
      <c r="R106">
        <v>102.36</v>
      </c>
      <c r="S106">
        <v>3</v>
      </c>
      <c r="T106" s="11">
        <f t="shared" si="3"/>
        <v>0</v>
      </c>
      <c r="U106" s="6">
        <v>92.123999999999995</v>
      </c>
      <c r="V106" s="11">
        <f t="shared" si="4"/>
        <v>0</v>
      </c>
      <c r="W106" s="9">
        <f t="shared" si="5"/>
        <v>0.89999999999999991</v>
      </c>
    </row>
    <row r="107" spans="1:23" hidden="1">
      <c r="A107">
        <v>106</v>
      </c>
      <c r="B107" t="s">
        <v>416</v>
      </c>
      <c r="C107" s="5">
        <v>42321</v>
      </c>
      <c r="D107" s="5">
        <v>42325</v>
      </c>
      <c r="E107" t="s">
        <v>132</v>
      </c>
      <c r="F107" t="s">
        <v>417</v>
      </c>
      <c r="G107" t="s">
        <v>418</v>
      </c>
      <c r="H107" t="s">
        <v>112</v>
      </c>
      <c r="I107" t="s">
        <v>113</v>
      </c>
      <c r="J107" t="s">
        <v>39</v>
      </c>
      <c r="K107" t="s">
        <v>419</v>
      </c>
      <c r="L107">
        <v>80013</v>
      </c>
      <c r="M107" t="s">
        <v>127</v>
      </c>
      <c r="N107" t="s">
        <v>422</v>
      </c>
      <c r="O107" t="s">
        <v>117</v>
      </c>
      <c r="P107" t="s">
        <v>153</v>
      </c>
      <c r="Q107" t="s">
        <v>154</v>
      </c>
      <c r="R107">
        <v>36.882000000000012</v>
      </c>
      <c r="S107">
        <v>3</v>
      </c>
      <c r="T107" s="11">
        <f t="shared" si="3"/>
        <v>0</v>
      </c>
      <c r="U107" s="6">
        <v>33.19380000000001</v>
      </c>
      <c r="V107" s="11">
        <f t="shared" si="4"/>
        <v>0</v>
      </c>
      <c r="W107" s="9">
        <f t="shared" si="5"/>
        <v>0.9</v>
      </c>
    </row>
    <row r="108" spans="1:23" hidden="1">
      <c r="A108">
        <v>107</v>
      </c>
      <c r="B108" t="s">
        <v>423</v>
      </c>
      <c r="C108" s="5">
        <v>43062</v>
      </c>
      <c r="D108" s="5">
        <v>43067</v>
      </c>
      <c r="E108" t="s">
        <v>132</v>
      </c>
      <c r="F108" t="s">
        <v>424</v>
      </c>
      <c r="G108" t="s">
        <v>425</v>
      </c>
      <c r="H108" t="s">
        <v>112</v>
      </c>
      <c r="I108" t="s">
        <v>113</v>
      </c>
      <c r="J108" t="s">
        <v>42</v>
      </c>
      <c r="K108" t="s">
        <v>163</v>
      </c>
      <c r="L108">
        <v>28205</v>
      </c>
      <c r="M108" t="s">
        <v>115</v>
      </c>
      <c r="N108" t="s">
        <v>426</v>
      </c>
      <c r="O108" t="s">
        <v>117</v>
      </c>
      <c r="P108" t="s">
        <v>144</v>
      </c>
      <c r="Q108" t="s">
        <v>156</v>
      </c>
      <c r="R108">
        <v>74.112000000000009</v>
      </c>
      <c r="S108">
        <v>8</v>
      </c>
      <c r="T108" s="11">
        <f t="shared" si="3"/>
        <v>0.05</v>
      </c>
      <c r="U108" s="6">
        <v>177.86880000000002</v>
      </c>
      <c r="V108" s="11">
        <f t="shared" si="4"/>
        <v>3.7056000000000004</v>
      </c>
      <c r="W108" s="9">
        <f t="shared" si="5"/>
        <v>2.4</v>
      </c>
    </row>
    <row r="109" spans="1:23" hidden="1">
      <c r="A109">
        <v>108</v>
      </c>
      <c r="B109" t="s">
        <v>423</v>
      </c>
      <c r="C109" s="5">
        <v>43062</v>
      </c>
      <c r="D109" s="5">
        <v>43067</v>
      </c>
      <c r="E109" t="s">
        <v>132</v>
      </c>
      <c r="F109" t="s">
        <v>424</v>
      </c>
      <c r="G109" t="s">
        <v>425</v>
      </c>
      <c r="H109" t="s">
        <v>112</v>
      </c>
      <c r="I109" t="s">
        <v>113</v>
      </c>
      <c r="J109" t="s">
        <v>42</v>
      </c>
      <c r="K109" t="s">
        <v>163</v>
      </c>
      <c r="L109">
        <v>28205</v>
      </c>
      <c r="M109" t="s">
        <v>115</v>
      </c>
      <c r="N109" t="s">
        <v>427</v>
      </c>
      <c r="O109" t="s">
        <v>117</v>
      </c>
      <c r="P109" t="s">
        <v>158</v>
      </c>
      <c r="Q109" t="s">
        <v>159</v>
      </c>
      <c r="R109">
        <v>27.992000000000001</v>
      </c>
      <c r="S109">
        <v>1</v>
      </c>
      <c r="T109" s="11">
        <f t="shared" si="3"/>
        <v>0</v>
      </c>
      <c r="U109" s="6">
        <v>8.3976000000000006</v>
      </c>
      <c r="V109" s="11">
        <f t="shared" si="4"/>
        <v>0</v>
      </c>
      <c r="W109" s="9">
        <f t="shared" si="5"/>
        <v>0.3</v>
      </c>
    </row>
    <row r="110" spans="1:23" hidden="1">
      <c r="A110">
        <v>109</v>
      </c>
      <c r="B110" t="s">
        <v>423</v>
      </c>
      <c r="C110" s="5">
        <v>43062</v>
      </c>
      <c r="D110" s="5">
        <v>43067</v>
      </c>
      <c r="E110" t="s">
        <v>132</v>
      </c>
      <c r="F110" t="s">
        <v>424</v>
      </c>
      <c r="G110" t="s">
        <v>425</v>
      </c>
      <c r="H110" t="s">
        <v>112</v>
      </c>
      <c r="I110" t="s">
        <v>113</v>
      </c>
      <c r="J110" t="s">
        <v>42</v>
      </c>
      <c r="K110" t="s">
        <v>163</v>
      </c>
      <c r="L110">
        <v>28205</v>
      </c>
      <c r="M110" t="s">
        <v>115</v>
      </c>
      <c r="N110" t="s">
        <v>428</v>
      </c>
      <c r="O110" t="s">
        <v>117</v>
      </c>
      <c r="P110" t="s">
        <v>35</v>
      </c>
      <c r="Q110" t="s">
        <v>118</v>
      </c>
      <c r="R110">
        <v>3.3039999999999998</v>
      </c>
      <c r="S110">
        <v>1</v>
      </c>
      <c r="T110" s="11">
        <f t="shared" si="3"/>
        <v>0</v>
      </c>
      <c r="U110" s="6">
        <v>0.99119999999999986</v>
      </c>
      <c r="V110" s="11">
        <f t="shared" si="4"/>
        <v>0</v>
      </c>
      <c r="W110" s="9">
        <f t="shared" si="5"/>
        <v>0.3</v>
      </c>
    </row>
    <row r="111" spans="1:23" hidden="1">
      <c r="A111">
        <v>110</v>
      </c>
      <c r="B111" t="s">
        <v>429</v>
      </c>
      <c r="C111" s="5">
        <v>42292</v>
      </c>
      <c r="D111" s="5">
        <v>42297</v>
      </c>
      <c r="E111" t="s">
        <v>132</v>
      </c>
      <c r="F111" t="s">
        <v>430</v>
      </c>
      <c r="G111" t="s">
        <v>431</v>
      </c>
      <c r="H111" t="s">
        <v>173</v>
      </c>
      <c r="I111" t="s">
        <v>113</v>
      </c>
      <c r="J111" t="s">
        <v>432</v>
      </c>
      <c r="K111" t="s">
        <v>247</v>
      </c>
      <c r="L111">
        <v>60462</v>
      </c>
      <c r="M111" t="s">
        <v>174</v>
      </c>
      <c r="N111" t="s">
        <v>433</v>
      </c>
      <c r="O111" t="s">
        <v>117</v>
      </c>
      <c r="P111" t="s">
        <v>120</v>
      </c>
      <c r="Q111" t="s">
        <v>121</v>
      </c>
      <c r="R111">
        <v>339.96</v>
      </c>
      <c r="S111">
        <v>5</v>
      </c>
      <c r="T111" s="11">
        <f t="shared" si="3"/>
        <v>0.05</v>
      </c>
      <c r="U111" s="6">
        <v>509.93999999999994</v>
      </c>
      <c r="V111" s="11">
        <f t="shared" si="4"/>
        <v>16.998000000000001</v>
      </c>
      <c r="W111" s="9">
        <f t="shared" si="5"/>
        <v>1.5</v>
      </c>
    </row>
    <row r="112" spans="1:23" hidden="1">
      <c r="A112">
        <v>111</v>
      </c>
      <c r="B112" t="s">
        <v>434</v>
      </c>
      <c r="C112" s="5">
        <v>43094</v>
      </c>
      <c r="D112" s="5">
        <v>43099</v>
      </c>
      <c r="E112" t="s">
        <v>132</v>
      </c>
      <c r="F112" t="s">
        <v>435</v>
      </c>
      <c r="G112" t="s">
        <v>436</v>
      </c>
      <c r="H112" t="s">
        <v>125</v>
      </c>
      <c r="I112" t="s">
        <v>113</v>
      </c>
      <c r="J112" t="s">
        <v>69</v>
      </c>
      <c r="K112" t="s">
        <v>287</v>
      </c>
      <c r="L112">
        <v>10035</v>
      </c>
      <c r="M112" t="s">
        <v>206</v>
      </c>
      <c r="N112" t="s">
        <v>437</v>
      </c>
      <c r="O112" t="s">
        <v>117</v>
      </c>
      <c r="P112" t="s">
        <v>129</v>
      </c>
      <c r="Q112" t="s">
        <v>130</v>
      </c>
      <c r="R112">
        <v>41.96</v>
      </c>
      <c r="S112">
        <v>2</v>
      </c>
      <c r="T112" s="11">
        <f t="shared" si="3"/>
        <v>0</v>
      </c>
      <c r="U112" s="6">
        <v>25.175999999999998</v>
      </c>
      <c r="V112" s="11">
        <f t="shared" si="4"/>
        <v>0</v>
      </c>
      <c r="W112" s="9">
        <f t="shared" si="5"/>
        <v>0.6</v>
      </c>
    </row>
    <row r="113" spans="1:23" hidden="1">
      <c r="A113">
        <v>112</v>
      </c>
      <c r="B113" t="s">
        <v>438</v>
      </c>
      <c r="C113" s="5">
        <v>42677</v>
      </c>
      <c r="D113" s="5">
        <v>42684</v>
      </c>
      <c r="E113" t="s">
        <v>132</v>
      </c>
      <c r="F113" t="s">
        <v>439</v>
      </c>
      <c r="G113" t="s">
        <v>440</v>
      </c>
      <c r="H113" t="s">
        <v>112</v>
      </c>
      <c r="I113" t="s">
        <v>113</v>
      </c>
      <c r="J113" t="s">
        <v>84</v>
      </c>
      <c r="K113" t="s">
        <v>441</v>
      </c>
      <c r="L113">
        <v>50322</v>
      </c>
      <c r="M113" t="s">
        <v>174</v>
      </c>
      <c r="N113" t="s">
        <v>442</v>
      </c>
      <c r="O113" t="s">
        <v>117</v>
      </c>
      <c r="P113" t="s">
        <v>35</v>
      </c>
      <c r="Q113" t="s">
        <v>136</v>
      </c>
      <c r="R113">
        <v>75.959999999999994</v>
      </c>
      <c r="S113">
        <v>2</v>
      </c>
      <c r="T113" s="11">
        <f t="shared" si="3"/>
        <v>0</v>
      </c>
      <c r="U113" s="6">
        <v>45.575999999999993</v>
      </c>
      <c r="V113" s="11">
        <f t="shared" si="4"/>
        <v>0</v>
      </c>
      <c r="W113" s="9">
        <f t="shared" si="5"/>
        <v>0.6</v>
      </c>
    </row>
    <row r="114" spans="1:23" hidden="1">
      <c r="A114">
        <v>113</v>
      </c>
      <c r="B114" t="s">
        <v>438</v>
      </c>
      <c r="C114" s="5">
        <v>42677</v>
      </c>
      <c r="D114" s="5">
        <v>42684</v>
      </c>
      <c r="E114" t="s">
        <v>132</v>
      </c>
      <c r="F114" t="s">
        <v>439</v>
      </c>
      <c r="G114" t="s">
        <v>440</v>
      </c>
      <c r="H114" t="s">
        <v>112</v>
      </c>
      <c r="I114" t="s">
        <v>113</v>
      </c>
      <c r="J114" t="s">
        <v>84</v>
      </c>
      <c r="K114" t="s">
        <v>441</v>
      </c>
      <c r="L114">
        <v>50322</v>
      </c>
      <c r="M114" t="s">
        <v>174</v>
      </c>
      <c r="N114" t="s">
        <v>443</v>
      </c>
      <c r="O114" t="s">
        <v>117</v>
      </c>
      <c r="P114" t="s">
        <v>138</v>
      </c>
      <c r="Q114" t="s">
        <v>139</v>
      </c>
      <c r="R114">
        <v>27.24</v>
      </c>
      <c r="S114">
        <v>6</v>
      </c>
      <c r="T114" s="11">
        <f t="shared" si="3"/>
        <v>0.05</v>
      </c>
      <c r="U114" s="6">
        <v>49.031999999999996</v>
      </c>
      <c r="V114" s="11">
        <f t="shared" si="4"/>
        <v>1.3620000000000001</v>
      </c>
      <c r="W114" s="9">
        <f t="shared" si="5"/>
        <v>1.8</v>
      </c>
    </row>
    <row r="115" spans="1:23" hidden="1">
      <c r="A115">
        <v>114</v>
      </c>
      <c r="B115" t="s">
        <v>444</v>
      </c>
      <c r="C115" s="5">
        <v>41876</v>
      </c>
      <c r="D115" s="5">
        <v>41878</v>
      </c>
      <c r="E115" t="s">
        <v>109</v>
      </c>
      <c r="F115" t="s">
        <v>445</v>
      </c>
      <c r="G115" t="s">
        <v>446</v>
      </c>
      <c r="H115" t="s">
        <v>112</v>
      </c>
      <c r="I115" t="s">
        <v>113</v>
      </c>
      <c r="J115" t="s">
        <v>47</v>
      </c>
      <c r="K115" t="s">
        <v>447</v>
      </c>
      <c r="L115">
        <v>43229</v>
      </c>
      <c r="M115" t="s">
        <v>206</v>
      </c>
      <c r="N115" t="s">
        <v>448</v>
      </c>
      <c r="O115" t="s">
        <v>117</v>
      </c>
      <c r="P115" t="s">
        <v>144</v>
      </c>
      <c r="Q115" t="s">
        <v>145</v>
      </c>
      <c r="R115">
        <v>40.095999999999997</v>
      </c>
      <c r="S115">
        <v>14</v>
      </c>
      <c r="T115" s="11">
        <f t="shared" si="3"/>
        <v>7.4999999999999997E-2</v>
      </c>
      <c r="U115" s="6">
        <v>168.40319999999997</v>
      </c>
      <c r="V115" s="11">
        <f t="shared" si="4"/>
        <v>3.0071999999999997</v>
      </c>
      <c r="W115" s="9">
        <f t="shared" si="5"/>
        <v>4.1999999999999993</v>
      </c>
    </row>
    <row r="116" spans="1:23" hidden="1">
      <c r="A116">
        <v>115</v>
      </c>
      <c r="B116" t="s">
        <v>444</v>
      </c>
      <c r="C116" s="5">
        <v>41876</v>
      </c>
      <c r="D116" s="5">
        <v>41878</v>
      </c>
      <c r="E116" t="s">
        <v>109</v>
      </c>
      <c r="F116" t="s">
        <v>445</v>
      </c>
      <c r="G116" t="s">
        <v>446</v>
      </c>
      <c r="H116" t="s">
        <v>112</v>
      </c>
      <c r="I116" t="s">
        <v>113</v>
      </c>
      <c r="J116" t="s">
        <v>47</v>
      </c>
      <c r="K116" t="s">
        <v>447</v>
      </c>
      <c r="L116">
        <v>43229</v>
      </c>
      <c r="M116" t="s">
        <v>206</v>
      </c>
      <c r="N116" t="s">
        <v>449</v>
      </c>
      <c r="O116" t="s">
        <v>117</v>
      </c>
      <c r="P116" t="s">
        <v>35</v>
      </c>
      <c r="Q116" t="s">
        <v>147</v>
      </c>
      <c r="R116">
        <v>4.7200000000000006</v>
      </c>
      <c r="S116">
        <v>2</v>
      </c>
      <c r="T116" s="11">
        <f t="shared" si="3"/>
        <v>0</v>
      </c>
      <c r="U116" s="6">
        <v>2.8320000000000003</v>
      </c>
      <c r="V116" s="11">
        <f t="shared" si="4"/>
        <v>0</v>
      </c>
      <c r="W116" s="9">
        <f t="shared" si="5"/>
        <v>0.6</v>
      </c>
    </row>
    <row r="117" spans="1:23" hidden="1">
      <c r="A117">
        <v>116</v>
      </c>
      <c r="B117" t="s">
        <v>444</v>
      </c>
      <c r="C117" s="5">
        <v>41876</v>
      </c>
      <c r="D117" s="5">
        <v>41878</v>
      </c>
      <c r="E117" t="s">
        <v>109</v>
      </c>
      <c r="F117" t="s">
        <v>445</v>
      </c>
      <c r="G117" t="s">
        <v>446</v>
      </c>
      <c r="H117" t="s">
        <v>112</v>
      </c>
      <c r="I117" t="s">
        <v>113</v>
      </c>
      <c r="J117" t="s">
        <v>47</v>
      </c>
      <c r="K117" t="s">
        <v>447</v>
      </c>
      <c r="L117">
        <v>43229</v>
      </c>
      <c r="M117" t="s">
        <v>206</v>
      </c>
      <c r="N117" t="s">
        <v>450</v>
      </c>
      <c r="O117" t="s">
        <v>117</v>
      </c>
      <c r="P117" t="s">
        <v>35</v>
      </c>
      <c r="Q117" t="s">
        <v>149</v>
      </c>
      <c r="R117">
        <v>23.975999999999999</v>
      </c>
      <c r="S117">
        <v>3</v>
      </c>
      <c r="T117" s="11">
        <f t="shared" si="3"/>
        <v>0</v>
      </c>
      <c r="U117" s="6">
        <v>21.578399999999998</v>
      </c>
      <c r="V117" s="11">
        <f t="shared" si="4"/>
        <v>0</v>
      </c>
      <c r="W117" s="9">
        <f t="shared" si="5"/>
        <v>0.9</v>
      </c>
    </row>
    <row r="118" spans="1:23" hidden="1">
      <c r="A118">
        <v>117</v>
      </c>
      <c r="B118" t="s">
        <v>444</v>
      </c>
      <c r="C118" s="5">
        <v>41876</v>
      </c>
      <c r="D118" s="5">
        <v>41878</v>
      </c>
      <c r="E118" t="s">
        <v>109</v>
      </c>
      <c r="F118" t="s">
        <v>445</v>
      </c>
      <c r="G118" t="s">
        <v>446</v>
      </c>
      <c r="H118" t="s">
        <v>112</v>
      </c>
      <c r="I118" t="s">
        <v>113</v>
      </c>
      <c r="J118" t="s">
        <v>47</v>
      </c>
      <c r="K118" t="s">
        <v>447</v>
      </c>
      <c r="L118">
        <v>43229</v>
      </c>
      <c r="M118" t="s">
        <v>206</v>
      </c>
      <c r="N118" t="s">
        <v>451</v>
      </c>
      <c r="O118" t="s">
        <v>117</v>
      </c>
      <c r="P118" t="s">
        <v>129</v>
      </c>
      <c r="Q118" t="s">
        <v>151</v>
      </c>
      <c r="R118">
        <v>130.464</v>
      </c>
      <c r="S118">
        <v>6</v>
      </c>
      <c r="T118" s="11">
        <f t="shared" si="3"/>
        <v>0.05</v>
      </c>
      <c r="U118" s="6">
        <v>234.83519999999999</v>
      </c>
      <c r="V118" s="11">
        <f t="shared" si="4"/>
        <v>6.5232000000000001</v>
      </c>
      <c r="W118" s="9">
        <f t="shared" si="5"/>
        <v>1.7999999999999998</v>
      </c>
    </row>
    <row r="119" spans="1:23" hidden="1">
      <c r="A119">
        <v>118</v>
      </c>
      <c r="B119" t="s">
        <v>452</v>
      </c>
      <c r="C119" s="5">
        <v>42065</v>
      </c>
      <c r="D119" s="5">
        <v>42069</v>
      </c>
      <c r="E119" t="s">
        <v>132</v>
      </c>
      <c r="F119" t="s">
        <v>453</v>
      </c>
      <c r="G119" t="s">
        <v>454</v>
      </c>
      <c r="H119" t="s">
        <v>112</v>
      </c>
      <c r="I119" t="s">
        <v>113</v>
      </c>
      <c r="J119" t="s">
        <v>81</v>
      </c>
      <c r="K119" t="s">
        <v>168</v>
      </c>
      <c r="L119">
        <v>98103</v>
      </c>
      <c r="M119" t="s">
        <v>127</v>
      </c>
      <c r="N119" t="s">
        <v>455</v>
      </c>
      <c r="O119" t="s">
        <v>117</v>
      </c>
      <c r="P119" t="s">
        <v>153</v>
      </c>
      <c r="Q119" t="s">
        <v>154</v>
      </c>
      <c r="R119">
        <v>787.53</v>
      </c>
      <c r="S119">
        <v>3</v>
      </c>
      <c r="T119" s="11">
        <f t="shared" si="3"/>
        <v>0</v>
      </c>
      <c r="U119" s="6">
        <v>708.77700000000004</v>
      </c>
      <c r="V119" s="11">
        <f t="shared" si="4"/>
        <v>0</v>
      </c>
      <c r="W119" s="9">
        <f t="shared" si="5"/>
        <v>0.90000000000000013</v>
      </c>
    </row>
    <row r="120" spans="1:23" hidden="1">
      <c r="A120">
        <v>119</v>
      </c>
      <c r="B120" t="s">
        <v>456</v>
      </c>
      <c r="C120" s="5">
        <v>42099</v>
      </c>
      <c r="D120" s="5">
        <v>42104</v>
      </c>
      <c r="E120" t="s">
        <v>132</v>
      </c>
      <c r="F120" t="s">
        <v>457</v>
      </c>
      <c r="G120" t="s">
        <v>458</v>
      </c>
      <c r="H120" t="s">
        <v>125</v>
      </c>
      <c r="I120" t="s">
        <v>113</v>
      </c>
      <c r="J120" t="s">
        <v>459</v>
      </c>
      <c r="K120" t="s">
        <v>332</v>
      </c>
      <c r="L120">
        <v>37620</v>
      </c>
      <c r="M120" t="s">
        <v>115</v>
      </c>
      <c r="N120" t="s">
        <v>460</v>
      </c>
      <c r="O120" t="s">
        <v>117</v>
      </c>
      <c r="P120" t="s">
        <v>144</v>
      </c>
      <c r="Q120" t="s">
        <v>156</v>
      </c>
      <c r="R120">
        <v>157.79400000000001</v>
      </c>
      <c r="S120">
        <v>1</v>
      </c>
      <c r="T120" s="11">
        <f t="shared" si="3"/>
        <v>0</v>
      </c>
      <c r="U120" s="6">
        <v>47.338200000000001</v>
      </c>
      <c r="V120" s="11">
        <f t="shared" si="4"/>
        <v>0</v>
      </c>
      <c r="W120" s="9">
        <f t="shared" si="5"/>
        <v>0.3</v>
      </c>
    </row>
    <row r="121" spans="1:23" hidden="1">
      <c r="A121">
        <v>120</v>
      </c>
      <c r="B121" t="s">
        <v>461</v>
      </c>
      <c r="C121" s="5">
        <v>42533</v>
      </c>
      <c r="D121" s="5">
        <v>42536</v>
      </c>
      <c r="E121" t="s">
        <v>231</v>
      </c>
      <c r="F121" t="s">
        <v>462</v>
      </c>
      <c r="G121" t="s">
        <v>463</v>
      </c>
      <c r="H121" t="s">
        <v>112</v>
      </c>
      <c r="I121" t="s">
        <v>113</v>
      </c>
      <c r="J121" t="s">
        <v>85</v>
      </c>
      <c r="K121" t="s">
        <v>273</v>
      </c>
      <c r="L121">
        <v>19805</v>
      </c>
      <c r="M121" t="s">
        <v>206</v>
      </c>
      <c r="N121" t="s">
        <v>464</v>
      </c>
      <c r="O121" t="s">
        <v>117</v>
      </c>
      <c r="P121" t="s">
        <v>158</v>
      </c>
      <c r="Q121" t="s">
        <v>159</v>
      </c>
      <c r="R121">
        <v>47.04</v>
      </c>
      <c r="S121">
        <v>3</v>
      </c>
      <c r="T121" s="11">
        <f t="shared" si="3"/>
        <v>0</v>
      </c>
      <c r="U121" s="6">
        <v>42.335999999999999</v>
      </c>
      <c r="V121" s="11">
        <f t="shared" si="4"/>
        <v>0</v>
      </c>
      <c r="W121" s="9">
        <f t="shared" si="5"/>
        <v>0.9</v>
      </c>
    </row>
    <row r="122" spans="1:23" hidden="1">
      <c r="A122">
        <v>121</v>
      </c>
      <c r="B122" t="s">
        <v>461</v>
      </c>
      <c r="C122" s="5">
        <v>42533</v>
      </c>
      <c r="D122" s="5">
        <v>42536</v>
      </c>
      <c r="E122" t="s">
        <v>231</v>
      </c>
      <c r="F122" t="s">
        <v>462</v>
      </c>
      <c r="G122" t="s">
        <v>463</v>
      </c>
      <c r="H122" t="s">
        <v>112</v>
      </c>
      <c r="I122" t="s">
        <v>113</v>
      </c>
      <c r="J122" t="s">
        <v>85</v>
      </c>
      <c r="K122" t="s">
        <v>273</v>
      </c>
      <c r="L122">
        <v>19805</v>
      </c>
      <c r="M122" t="s">
        <v>206</v>
      </c>
      <c r="N122" t="s">
        <v>150</v>
      </c>
      <c r="O122" t="s">
        <v>117</v>
      </c>
      <c r="P122" t="s">
        <v>35</v>
      </c>
      <c r="Q122" t="s">
        <v>118</v>
      </c>
      <c r="R122">
        <v>30.84</v>
      </c>
      <c r="S122">
        <v>4</v>
      </c>
      <c r="T122" s="11">
        <f t="shared" si="3"/>
        <v>0</v>
      </c>
      <c r="U122" s="6">
        <v>37.007999999999996</v>
      </c>
      <c r="V122" s="11">
        <f t="shared" si="4"/>
        <v>0</v>
      </c>
      <c r="W122" s="9">
        <f t="shared" si="5"/>
        <v>1.2</v>
      </c>
    </row>
    <row r="123" spans="1:23" hidden="1">
      <c r="A123">
        <v>122</v>
      </c>
      <c r="B123" t="s">
        <v>461</v>
      </c>
      <c r="C123" s="5">
        <v>42533</v>
      </c>
      <c r="D123" s="5">
        <v>42536</v>
      </c>
      <c r="E123" t="s">
        <v>231</v>
      </c>
      <c r="F123" t="s">
        <v>462</v>
      </c>
      <c r="G123" t="s">
        <v>463</v>
      </c>
      <c r="H123" t="s">
        <v>112</v>
      </c>
      <c r="I123" t="s">
        <v>113</v>
      </c>
      <c r="J123" t="s">
        <v>85</v>
      </c>
      <c r="K123" t="s">
        <v>273</v>
      </c>
      <c r="L123">
        <v>19805</v>
      </c>
      <c r="M123" t="s">
        <v>206</v>
      </c>
      <c r="N123" t="s">
        <v>465</v>
      </c>
      <c r="O123" t="s">
        <v>117</v>
      </c>
      <c r="P123" t="s">
        <v>120</v>
      </c>
      <c r="Q123" t="s">
        <v>121</v>
      </c>
      <c r="R123">
        <v>226.56</v>
      </c>
      <c r="S123">
        <v>6</v>
      </c>
      <c r="T123" s="11">
        <f t="shared" si="3"/>
        <v>0.05</v>
      </c>
      <c r="U123" s="6">
        <v>407.80800000000005</v>
      </c>
      <c r="V123" s="11">
        <f t="shared" si="4"/>
        <v>11.328000000000001</v>
      </c>
      <c r="W123" s="9">
        <f t="shared" si="5"/>
        <v>1.8000000000000003</v>
      </c>
    </row>
    <row r="124" spans="1:23" hidden="1">
      <c r="A124">
        <v>123</v>
      </c>
      <c r="B124" t="s">
        <v>461</v>
      </c>
      <c r="C124" s="5">
        <v>42533</v>
      </c>
      <c r="D124" s="5">
        <v>42536</v>
      </c>
      <c r="E124" t="s">
        <v>231</v>
      </c>
      <c r="F124" t="s">
        <v>462</v>
      </c>
      <c r="G124" t="s">
        <v>463</v>
      </c>
      <c r="H124" t="s">
        <v>112</v>
      </c>
      <c r="I124" t="s">
        <v>113</v>
      </c>
      <c r="J124" t="s">
        <v>85</v>
      </c>
      <c r="K124" t="s">
        <v>273</v>
      </c>
      <c r="L124">
        <v>19805</v>
      </c>
      <c r="M124" t="s">
        <v>206</v>
      </c>
      <c r="N124" t="s">
        <v>466</v>
      </c>
      <c r="O124" t="s">
        <v>117</v>
      </c>
      <c r="P124" t="s">
        <v>129</v>
      </c>
      <c r="Q124" t="s">
        <v>130</v>
      </c>
      <c r="R124">
        <v>115.02</v>
      </c>
      <c r="S124">
        <v>9</v>
      </c>
      <c r="T124" s="11">
        <f t="shared" si="3"/>
        <v>0.05</v>
      </c>
      <c r="U124" s="6">
        <v>310.55400000000003</v>
      </c>
      <c r="V124" s="11">
        <f t="shared" si="4"/>
        <v>5.7510000000000003</v>
      </c>
      <c r="W124" s="9">
        <f t="shared" si="5"/>
        <v>2.7</v>
      </c>
    </row>
    <row r="125" spans="1:23" hidden="1">
      <c r="A125">
        <v>124</v>
      </c>
      <c r="B125" t="s">
        <v>461</v>
      </c>
      <c r="C125" s="5">
        <v>42533</v>
      </c>
      <c r="D125" s="5">
        <v>42536</v>
      </c>
      <c r="E125" t="s">
        <v>231</v>
      </c>
      <c r="F125" t="s">
        <v>462</v>
      </c>
      <c r="G125" t="s">
        <v>463</v>
      </c>
      <c r="H125" t="s">
        <v>112</v>
      </c>
      <c r="I125" t="s">
        <v>113</v>
      </c>
      <c r="J125" t="s">
        <v>85</v>
      </c>
      <c r="K125" t="s">
        <v>273</v>
      </c>
      <c r="L125">
        <v>19805</v>
      </c>
      <c r="M125" t="s">
        <v>206</v>
      </c>
      <c r="N125" t="s">
        <v>467</v>
      </c>
      <c r="O125" t="s">
        <v>117</v>
      </c>
      <c r="P125" t="s">
        <v>35</v>
      </c>
      <c r="Q125" t="s">
        <v>136</v>
      </c>
      <c r="R125">
        <v>68.040000000000006</v>
      </c>
      <c r="S125">
        <v>7</v>
      </c>
      <c r="T125" s="11">
        <f t="shared" si="3"/>
        <v>0.05</v>
      </c>
      <c r="U125" s="6">
        <v>142.88400000000001</v>
      </c>
      <c r="V125" s="11">
        <f t="shared" si="4"/>
        <v>3.4020000000000006</v>
      </c>
      <c r="W125" s="9">
        <f t="shared" si="5"/>
        <v>2.1</v>
      </c>
    </row>
    <row r="126" spans="1:23" hidden="1">
      <c r="A126">
        <v>125</v>
      </c>
      <c r="B126" t="s">
        <v>468</v>
      </c>
      <c r="C126" s="5">
        <v>41999</v>
      </c>
      <c r="D126" s="5">
        <v>42001</v>
      </c>
      <c r="E126" t="s">
        <v>109</v>
      </c>
      <c r="F126" t="s">
        <v>469</v>
      </c>
      <c r="G126" t="s">
        <v>470</v>
      </c>
      <c r="H126" t="s">
        <v>173</v>
      </c>
      <c r="I126" t="s">
        <v>113</v>
      </c>
      <c r="J126" t="s">
        <v>61</v>
      </c>
      <c r="K126" t="s">
        <v>1</v>
      </c>
      <c r="L126">
        <v>77041</v>
      </c>
      <c r="M126" t="s">
        <v>174</v>
      </c>
      <c r="N126" t="s">
        <v>471</v>
      </c>
      <c r="O126" t="s">
        <v>117</v>
      </c>
      <c r="P126" t="s">
        <v>138</v>
      </c>
      <c r="Q126" t="s">
        <v>139</v>
      </c>
      <c r="R126">
        <v>600.55799999999999</v>
      </c>
      <c r="S126">
        <v>3</v>
      </c>
      <c r="T126" s="11">
        <f t="shared" si="3"/>
        <v>0</v>
      </c>
      <c r="U126" s="6">
        <v>540.50220000000002</v>
      </c>
      <c r="V126" s="11">
        <f t="shared" si="4"/>
        <v>0</v>
      </c>
      <c r="W126" s="9">
        <f t="shared" si="5"/>
        <v>0.9</v>
      </c>
    </row>
    <row r="127" spans="1:23" hidden="1">
      <c r="A127">
        <v>126</v>
      </c>
      <c r="B127" t="s">
        <v>472</v>
      </c>
      <c r="C127" s="5">
        <v>41902</v>
      </c>
      <c r="D127" s="5">
        <v>41907</v>
      </c>
      <c r="E127" t="s">
        <v>132</v>
      </c>
      <c r="F127" t="s">
        <v>473</v>
      </c>
      <c r="G127" t="s">
        <v>474</v>
      </c>
      <c r="H127" t="s">
        <v>112</v>
      </c>
      <c r="I127" t="s">
        <v>113</v>
      </c>
      <c r="J127" t="s">
        <v>475</v>
      </c>
      <c r="K127" t="s">
        <v>247</v>
      </c>
      <c r="L127">
        <v>61701</v>
      </c>
      <c r="M127" t="s">
        <v>174</v>
      </c>
      <c r="N127" t="s">
        <v>476</v>
      </c>
      <c r="O127" t="s">
        <v>117</v>
      </c>
      <c r="P127" t="s">
        <v>144</v>
      </c>
      <c r="Q127" t="s">
        <v>145</v>
      </c>
      <c r="R127">
        <v>617.70000000000005</v>
      </c>
      <c r="S127">
        <v>6</v>
      </c>
      <c r="T127" s="11">
        <f t="shared" si="3"/>
        <v>0.05</v>
      </c>
      <c r="U127" s="6">
        <v>1111.8600000000001</v>
      </c>
      <c r="V127" s="11">
        <f t="shared" si="4"/>
        <v>30.885000000000005</v>
      </c>
      <c r="W127" s="9">
        <f t="shared" si="5"/>
        <v>1.8</v>
      </c>
    </row>
    <row r="128" spans="1:23" hidden="1">
      <c r="A128">
        <v>127</v>
      </c>
      <c r="B128" t="s">
        <v>477</v>
      </c>
      <c r="C128" s="5">
        <v>43044</v>
      </c>
      <c r="D128" s="5">
        <v>43051</v>
      </c>
      <c r="E128" t="s">
        <v>132</v>
      </c>
      <c r="F128" t="s">
        <v>478</v>
      </c>
      <c r="G128" t="s">
        <v>479</v>
      </c>
      <c r="H128" t="s">
        <v>112</v>
      </c>
      <c r="I128" t="s">
        <v>113</v>
      </c>
      <c r="J128" t="s">
        <v>72</v>
      </c>
      <c r="K128" t="s">
        <v>313</v>
      </c>
      <c r="L128">
        <v>85023</v>
      </c>
      <c r="M128" t="s">
        <v>127</v>
      </c>
      <c r="N128" t="s">
        <v>480</v>
      </c>
      <c r="O128" t="s">
        <v>117</v>
      </c>
      <c r="P128" t="s">
        <v>35</v>
      </c>
      <c r="Q128" t="s">
        <v>147</v>
      </c>
      <c r="R128">
        <v>2.3879999999999999</v>
      </c>
      <c r="S128">
        <v>2</v>
      </c>
      <c r="T128" s="11">
        <f t="shared" si="3"/>
        <v>0</v>
      </c>
      <c r="U128" s="6">
        <v>1.4327999999999999</v>
      </c>
      <c r="V128" s="11">
        <f t="shared" si="4"/>
        <v>0</v>
      </c>
      <c r="W128" s="9">
        <f t="shared" si="5"/>
        <v>0.6</v>
      </c>
    </row>
    <row r="129" spans="1:23" hidden="1">
      <c r="A129">
        <v>128</v>
      </c>
      <c r="B129" t="s">
        <v>477</v>
      </c>
      <c r="C129" s="5">
        <v>43044</v>
      </c>
      <c r="D129" s="5">
        <v>43051</v>
      </c>
      <c r="E129" t="s">
        <v>132</v>
      </c>
      <c r="F129" t="s">
        <v>478</v>
      </c>
      <c r="G129" t="s">
        <v>479</v>
      </c>
      <c r="H129" t="s">
        <v>112</v>
      </c>
      <c r="I129" t="s">
        <v>113</v>
      </c>
      <c r="J129" t="s">
        <v>72</v>
      </c>
      <c r="K129" t="s">
        <v>313</v>
      </c>
      <c r="L129">
        <v>85023</v>
      </c>
      <c r="M129" t="s">
        <v>127</v>
      </c>
      <c r="N129" t="s">
        <v>481</v>
      </c>
      <c r="O129" t="s">
        <v>117</v>
      </c>
      <c r="P129" t="s">
        <v>35</v>
      </c>
      <c r="Q129" t="s">
        <v>149</v>
      </c>
      <c r="R129">
        <v>243.99199999999999</v>
      </c>
      <c r="S129">
        <v>7</v>
      </c>
      <c r="T129" s="11">
        <f t="shared" si="3"/>
        <v>0.05</v>
      </c>
      <c r="U129" s="6">
        <v>512.38319999999999</v>
      </c>
      <c r="V129" s="11">
        <f t="shared" si="4"/>
        <v>12.1996</v>
      </c>
      <c r="W129" s="9">
        <f t="shared" si="5"/>
        <v>2.1</v>
      </c>
    </row>
    <row r="130" spans="1:23" hidden="1">
      <c r="A130">
        <v>129</v>
      </c>
      <c r="B130" t="s">
        <v>482</v>
      </c>
      <c r="C130" s="5">
        <v>42680</v>
      </c>
      <c r="D130" s="5">
        <v>42684</v>
      </c>
      <c r="E130" t="s">
        <v>109</v>
      </c>
      <c r="F130" t="s">
        <v>483</v>
      </c>
      <c r="G130" t="s">
        <v>484</v>
      </c>
      <c r="H130" t="s">
        <v>173</v>
      </c>
      <c r="I130" t="s">
        <v>113</v>
      </c>
      <c r="J130" t="s">
        <v>63</v>
      </c>
      <c r="K130" t="s">
        <v>126</v>
      </c>
      <c r="L130">
        <v>90004</v>
      </c>
      <c r="M130" t="s">
        <v>127</v>
      </c>
      <c r="N130" t="s">
        <v>309</v>
      </c>
      <c r="O130" t="s">
        <v>117</v>
      </c>
      <c r="P130" t="s">
        <v>129</v>
      </c>
      <c r="Q130" t="s">
        <v>151</v>
      </c>
      <c r="R130">
        <v>81.424000000000007</v>
      </c>
      <c r="S130">
        <v>2</v>
      </c>
      <c r="T130" s="11">
        <f t="shared" ref="T130:T193" si="6">IFERROR(IF(S130&gt;=5,VLOOKUP(S130,$X$311:$Y$313,2,TRUE),0),0)</f>
        <v>0</v>
      </c>
      <c r="U130" s="6">
        <v>48.854400000000005</v>
      </c>
      <c r="V130" s="11">
        <f t="shared" ref="V130:V193" si="7">R130*T130</f>
        <v>0</v>
      </c>
      <c r="W130" s="9">
        <f t="shared" ref="W130:W193" si="8">U130/R130</f>
        <v>0.6</v>
      </c>
    </row>
    <row r="131" spans="1:23" hidden="1">
      <c r="A131">
        <v>130</v>
      </c>
      <c r="B131" t="s">
        <v>482</v>
      </c>
      <c r="C131" s="5">
        <v>42680</v>
      </c>
      <c r="D131" s="5">
        <v>42684</v>
      </c>
      <c r="E131" t="s">
        <v>109</v>
      </c>
      <c r="F131" t="s">
        <v>483</v>
      </c>
      <c r="G131" t="s">
        <v>484</v>
      </c>
      <c r="H131" t="s">
        <v>173</v>
      </c>
      <c r="I131" t="s">
        <v>113</v>
      </c>
      <c r="J131" t="s">
        <v>63</v>
      </c>
      <c r="K131" t="s">
        <v>126</v>
      </c>
      <c r="L131">
        <v>90004</v>
      </c>
      <c r="M131" t="s">
        <v>127</v>
      </c>
      <c r="N131" t="s">
        <v>485</v>
      </c>
      <c r="O131" t="s">
        <v>117</v>
      </c>
      <c r="P131" t="s">
        <v>153</v>
      </c>
      <c r="Q131" t="s">
        <v>154</v>
      </c>
      <c r="R131">
        <v>238.56</v>
      </c>
      <c r="S131">
        <v>3</v>
      </c>
      <c r="T131" s="11">
        <f t="shared" si="6"/>
        <v>0</v>
      </c>
      <c r="U131" s="6">
        <v>214.70400000000001</v>
      </c>
      <c r="V131" s="11">
        <f t="shared" si="7"/>
        <v>0</v>
      </c>
      <c r="W131" s="9">
        <f t="shared" si="8"/>
        <v>0.9</v>
      </c>
    </row>
    <row r="132" spans="1:23" hidden="1">
      <c r="A132">
        <v>131</v>
      </c>
      <c r="B132" t="s">
        <v>486</v>
      </c>
      <c r="C132" s="5">
        <v>42768</v>
      </c>
      <c r="D132" s="5">
        <v>42771</v>
      </c>
      <c r="E132" t="s">
        <v>231</v>
      </c>
      <c r="F132" t="s">
        <v>487</v>
      </c>
      <c r="G132" t="s">
        <v>488</v>
      </c>
      <c r="H132" t="s">
        <v>125</v>
      </c>
      <c r="I132" t="s">
        <v>113</v>
      </c>
      <c r="J132" t="s">
        <v>47</v>
      </c>
      <c r="K132" t="s">
        <v>447</v>
      </c>
      <c r="L132">
        <v>43229</v>
      </c>
      <c r="M132" t="s">
        <v>206</v>
      </c>
      <c r="N132" t="s">
        <v>489</v>
      </c>
      <c r="O132" t="s">
        <v>117</v>
      </c>
      <c r="P132" t="s">
        <v>144</v>
      </c>
      <c r="Q132" t="s">
        <v>156</v>
      </c>
      <c r="R132">
        <v>59.969999999999992</v>
      </c>
      <c r="S132">
        <v>5</v>
      </c>
      <c r="T132" s="11">
        <f t="shared" si="6"/>
        <v>0.05</v>
      </c>
      <c r="U132" s="6">
        <v>89.954999999999984</v>
      </c>
      <c r="V132" s="11">
        <f t="shared" si="7"/>
        <v>2.9984999999999999</v>
      </c>
      <c r="W132" s="9">
        <f t="shared" si="8"/>
        <v>1.5</v>
      </c>
    </row>
    <row r="133" spans="1:23" hidden="1">
      <c r="A133">
        <v>132</v>
      </c>
      <c r="B133" t="s">
        <v>486</v>
      </c>
      <c r="C133" s="5">
        <v>42768</v>
      </c>
      <c r="D133" s="5">
        <v>42771</v>
      </c>
      <c r="E133" t="s">
        <v>231</v>
      </c>
      <c r="F133" t="s">
        <v>487</v>
      </c>
      <c r="G133" t="s">
        <v>488</v>
      </c>
      <c r="H133" t="s">
        <v>125</v>
      </c>
      <c r="I133" t="s">
        <v>113</v>
      </c>
      <c r="J133" t="s">
        <v>47</v>
      </c>
      <c r="K133" t="s">
        <v>447</v>
      </c>
      <c r="L133">
        <v>43229</v>
      </c>
      <c r="M133" t="s">
        <v>206</v>
      </c>
      <c r="N133" t="s">
        <v>490</v>
      </c>
      <c r="O133" t="s">
        <v>117</v>
      </c>
      <c r="P133" t="s">
        <v>158</v>
      </c>
      <c r="Q133" t="s">
        <v>159</v>
      </c>
      <c r="R133">
        <v>78.304000000000002</v>
      </c>
      <c r="S133">
        <v>2</v>
      </c>
      <c r="T133" s="11">
        <f t="shared" si="6"/>
        <v>0</v>
      </c>
      <c r="U133" s="6">
        <v>46.982399999999998</v>
      </c>
      <c r="V133" s="11">
        <f t="shared" si="7"/>
        <v>0</v>
      </c>
      <c r="W133" s="9">
        <f t="shared" si="8"/>
        <v>0.6</v>
      </c>
    </row>
    <row r="134" spans="1:23" hidden="1">
      <c r="A134">
        <v>133</v>
      </c>
      <c r="B134" t="s">
        <v>486</v>
      </c>
      <c r="C134" s="5">
        <v>42768</v>
      </c>
      <c r="D134" s="5">
        <v>42771</v>
      </c>
      <c r="E134" t="s">
        <v>231</v>
      </c>
      <c r="F134" t="s">
        <v>487</v>
      </c>
      <c r="G134" t="s">
        <v>488</v>
      </c>
      <c r="H134" t="s">
        <v>125</v>
      </c>
      <c r="I134" t="s">
        <v>113</v>
      </c>
      <c r="J134" t="s">
        <v>47</v>
      </c>
      <c r="K134" t="s">
        <v>447</v>
      </c>
      <c r="L134">
        <v>43229</v>
      </c>
      <c r="M134" t="s">
        <v>206</v>
      </c>
      <c r="N134" t="s">
        <v>491</v>
      </c>
      <c r="O134" t="s">
        <v>117</v>
      </c>
      <c r="P134" t="s">
        <v>35</v>
      </c>
      <c r="Q134" t="s">
        <v>118</v>
      </c>
      <c r="R134">
        <v>21.456</v>
      </c>
      <c r="S134">
        <v>9</v>
      </c>
      <c r="T134" s="11">
        <f t="shared" si="6"/>
        <v>0.05</v>
      </c>
      <c r="U134" s="6">
        <v>57.93119999999999</v>
      </c>
      <c r="V134" s="11">
        <f t="shared" si="7"/>
        <v>1.0728</v>
      </c>
      <c r="W134" s="9">
        <f t="shared" si="8"/>
        <v>2.6999999999999997</v>
      </c>
    </row>
    <row r="135" spans="1:23" hidden="1">
      <c r="A135">
        <v>134</v>
      </c>
      <c r="B135" t="s">
        <v>492</v>
      </c>
      <c r="C135" s="5">
        <v>42656</v>
      </c>
      <c r="D135" s="5">
        <v>42662</v>
      </c>
      <c r="E135" t="s">
        <v>132</v>
      </c>
      <c r="F135" t="s">
        <v>493</v>
      </c>
      <c r="G135" t="s">
        <v>494</v>
      </c>
      <c r="H135" t="s">
        <v>112</v>
      </c>
      <c r="I135" t="s">
        <v>113</v>
      </c>
      <c r="J135" t="s">
        <v>76</v>
      </c>
      <c r="K135" t="s">
        <v>126</v>
      </c>
      <c r="L135">
        <v>95661</v>
      </c>
      <c r="M135" t="s">
        <v>127</v>
      </c>
      <c r="N135" t="s">
        <v>495</v>
      </c>
      <c r="O135" t="s">
        <v>117</v>
      </c>
      <c r="P135" t="s">
        <v>120</v>
      </c>
      <c r="Q135" t="s">
        <v>121</v>
      </c>
      <c r="R135">
        <v>20.04</v>
      </c>
      <c r="S135">
        <v>3</v>
      </c>
      <c r="T135" s="11">
        <f t="shared" si="6"/>
        <v>0</v>
      </c>
      <c r="U135" s="6">
        <v>18.035999999999998</v>
      </c>
      <c r="V135" s="11">
        <f t="shared" si="7"/>
        <v>0</v>
      </c>
      <c r="W135" s="9">
        <f t="shared" si="8"/>
        <v>0.89999999999999991</v>
      </c>
    </row>
    <row r="136" spans="1:23" hidden="1">
      <c r="A136">
        <v>135</v>
      </c>
      <c r="B136" t="s">
        <v>492</v>
      </c>
      <c r="C136" s="5">
        <v>42656</v>
      </c>
      <c r="D136" s="5">
        <v>42662</v>
      </c>
      <c r="E136" t="s">
        <v>132</v>
      </c>
      <c r="F136" t="s">
        <v>493</v>
      </c>
      <c r="G136" t="s">
        <v>494</v>
      </c>
      <c r="H136" t="s">
        <v>112</v>
      </c>
      <c r="I136" t="s">
        <v>113</v>
      </c>
      <c r="J136" t="s">
        <v>76</v>
      </c>
      <c r="K136" t="s">
        <v>126</v>
      </c>
      <c r="L136">
        <v>95661</v>
      </c>
      <c r="M136" t="s">
        <v>127</v>
      </c>
      <c r="N136" t="s">
        <v>496</v>
      </c>
      <c r="O136" t="s">
        <v>117</v>
      </c>
      <c r="P136" t="s">
        <v>129</v>
      </c>
      <c r="Q136" t="s">
        <v>130</v>
      </c>
      <c r="R136">
        <v>35.44</v>
      </c>
      <c r="S136">
        <v>1</v>
      </c>
      <c r="T136" s="11">
        <f t="shared" si="6"/>
        <v>0</v>
      </c>
      <c r="U136" s="6">
        <v>10.632</v>
      </c>
      <c r="V136" s="11">
        <f t="shared" si="7"/>
        <v>0</v>
      </c>
      <c r="W136" s="9">
        <f t="shared" si="8"/>
        <v>0.3</v>
      </c>
    </row>
    <row r="137" spans="1:23">
      <c r="A137">
        <v>136</v>
      </c>
      <c r="B137" t="s">
        <v>492</v>
      </c>
      <c r="C137" s="5">
        <v>42656</v>
      </c>
      <c r="D137" s="5">
        <v>42662</v>
      </c>
      <c r="E137" t="s">
        <v>132</v>
      </c>
      <c r="F137" t="s">
        <v>493</v>
      </c>
      <c r="G137" t="s">
        <v>494</v>
      </c>
      <c r="H137" t="s">
        <v>112</v>
      </c>
      <c r="I137" t="s">
        <v>113</v>
      </c>
      <c r="J137" t="s">
        <v>76</v>
      </c>
      <c r="K137" t="s">
        <v>126</v>
      </c>
      <c r="L137">
        <v>95661</v>
      </c>
      <c r="M137" t="s">
        <v>127</v>
      </c>
      <c r="N137" t="s">
        <v>497</v>
      </c>
      <c r="O137" t="s">
        <v>117</v>
      </c>
      <c r="P137" t="s">
        <v>35</v>
      </c>
      <c r="Q137" t="s">
        <v>136</v>
      </c>
      <c r="R137" s="9">
        <v>11.52</v>
      </c>
      <c r="S137">
        <v>4</v>
      </c>
      <c r="T137" s="11">
        <f t="shared" si="6"/>
        <v>0</v>
      </c>
      <c r="U137" s="9">
        <v>13.824</v>
      </c>
      <c r="V137" s="9">
        <f t="shared" si="7"/>
        <v>0</v>
      </c>
      <c r="W137" s="9">
        <f t="shared" si="8"/>
        <v>1.2</v>
      </c>
    </row>
    <row r="138" spans="1:23" hidden="1">
      <c r="A138">
        <v>137</v>
      </c>
      <c r="B138" t="s">
        <v>492</v>
      </c>
      <c r="C138" s="5">
        <v>42656</v>
      </c>
      <c r="D138" s="5">
        <v>42662</v>
      </c>
      <c r="E138" t="s">
        <v>132</v>
      </c>
      <c r="F138" t="s">
        <v>493</v>
      </c>
      <c r="G138" t="s">
        <v>494</v>
      </c>
      <c r="H138" t="s">
        <v>112</v>
      </c>
      <c r="I138" t="s">
        <v>113</v>
      </c>
      <c r="J138" t="s">
        <v>76</v>
      </c>
      <c r="K138" t="s">
        <v>126</v>
      </c>
      <c r="L138">
        <v>95661</v>
      </c>
      <c r="M138" t="s">
        <v>127</v>
      </c>
      <c r="N138" t="s">
        <v>498</v>
      </c>
      <c r="O138" t="s">
        <v>117</v>
      </c>
      <c r="P138" t="s">
        <v>138</v>
      </c>
      <c r="Q138" t="s">
        <v>139</v>
      </c>
      <c r="R138">
        <v>4.0199999999999996</v>
      </c>
      <c r="S138">
        <v>2</v>
      </c>
      <c r="T138" s="11">
        <f t="shared" si="6"/>
        <v>0</v>
      </c>
      <c r="U138" s="6">
        <v>2.4119999999999995</v>
      </c>
      <c r="V138" s="11">
        <f t="shared" si="7"/>
        <v>0</v>
      </c>
      <c r="W138" s="9">
        <f t="shared" si="8"/>
        <v>0.6</v>
      </c>
    </row>
    <row r="139" spans="1:23" hidden="1">
      <c r="A139">
        <v>138</v>
      </c>
      <c r="B139" t="s">
        <v>492</v>
      </c>
      <c r="C139" s="5">
        <v>42656</v>
      </c>
      <c r="D139" s="5">
        <v>42662</v>
      </c>
      <c r="E139" t="s">
        <v>132</v>
      </c>
      <c r="F139" t="s">
        <v>493</v>
      </c>
      <c r="G139" t="s">
        <v>494</v>
      </c>
      <c r="H139" t="s">
        <v>112</v>
      </c>
      <c r="I139" t="s">
        <v>113</v>
      </c>
      <c r="J139" t="s">
        <v>76</v>
      </c>
      <c r="K139" t="s">
        <v>126</v>
      </c>
      <c r="L139">
        <v>95661</v>
      </c>
      <c r="M139" t="s">
        <v>127</v>
      </c>
      <c r="N139" t="s">
        <v>499</v>
      </c>
      <c r="O139" t="s">
        <v>117</v>
      </c>
      <c r="P139" t="s">
        <v>144</v>
      </c>
      <c r="Q139" t="s">
        <v>145</v>
      </c>
      <c r="R139">
        <v>76.176000000000002</v>
      </c>
      <c r="S139">
        <v>3</v>
      </c>
      <c r="T139" s="11">
        <f t="shared" si="6"/>
        <v>0</v>
      </c>
      <c r="U139" s="6">
        <v>68.558400000000006</v>
      </c>
      <c r="V139" s="11">
        <f t="shared" si="7"/>
        <v>0</v>
      </c>
      <c r="W139" s="9">
        <f t="shared" si="8"/>
        <v>0.9</v>
      </c>
    </row>
    <row r="140" spans="1:23">
      <c r="A140">
        <v>139</v>
      </c>
      <c r="B140" t="s">
        <v>492</v>
      </c>
      <c r="C140" s="5">
        <v>42656</v>
      </c>
      <c r="D140" s="5">
        <v>42662</v>
      </c>
      <c r="E140" t="s">
        <v>132</v>
      </c>
      <c r="F140" t="s">
        <v>493</v>
      </c>
      <c r="G140" t="s">
        <v>494</v>
      </c>
      <c r="H140" t="s">
        <v>112</v>
      </c>
      <c r="I140" t="s">
        <v>113</v>
      </c>
      <c r="J140" t="s">
        <v>76</v>
      </c>
      <c r="K140" t="s">
        <v>126</v>
      </c>
      <c r="L140">
        <v>95661</v>
      </c>
      <c r="M140" t="s">
        <v>127</v>
      </c>
      <c r="N140" t="s">
        <v>500</v>
      </c>
      <c r="O140" t="s">
        <v>117</v>
      </c>
      <c r="P140" t="s">
        <v>35</v>
      </c>
      <c r="Q140" t="s">
        <v>147</v>
      </c>
      <c r="R140" s="9">
        <v>65.88</v>
      </c>
      <c r="S140">
        <v>6</v>
      </c>
      <c r="T140" s="11">
        <f t="shared" si="6"/>
        <v>0.05</v>
      </c>
      <c r="U140" s="9">
        <v>118.58399999999999</v>
      </c>
      <c r="V140" s="9">
        <f t="shared" si="7"/>
        <v>3.294</v>
      </c>
      <c r="W140" s="9">
        <f t="shared" si="8"/>
        <v>1.8</v>
      </c>
    </row>
    <row r="141" spans="1:23">
      <c r="A141">
        <v>140</v>
      </c>
      <c r="B141" t="s">
        <v>492</v>
      </c>
      <c r="C141" s="5">
        <v>42656</v>
      </c>
      <c r="D141" s="5">
        <v>42662</v>
      </c>
      <c r="E141" t="s">
        <v>132</v>
      </c>
      <c r="F141" t="s">
        <v>493</v>
      </c>
      <c r="G141" t="s">
        <v>494</v>
      </c>
      <c r="H141" t="s">
        <v>112</v>
      </c>
      <c r="I141" t="s">
        <v>113</v>
      </c>
      <c r="J141" t="s">
        <v>76</v>
      </c>
      <c r="K141" t="s">
        <v>126</v>
      </c>
      <c r="L141">
        <v>95661</v>
      </c>
      <c r="M141" t="s">
        <v>127</v>
      </c>
      <c r="N141" t="s">
        <v>282</v>
      </c>
      <c r="O141" t="s">
        <v>117</v>
      </c>
      <c r="P141" t="s">
        <v>35</v>
      </c>
      <c r="Q141" t="s">
        <v>149</v>
      </c>
      <c r="R141" s="9">
        <v>43.12</v>
      </c>
      <c r="S141">
        <v>14</v>
      </c>
      <c r="T141" s="11">
        <f t="shared" si="6"/>
        <v>7.4999999999999997E-2</v>
      </c>
      <c r="U141" s="9">
        <v>181.10399999999998</v>
      </c>
      <c r="V141" s="9">
        <f t="shared" si="7"/>
        <v>3.2339999999999995</v>
      </c>
      <c r="W141" s="9">
        <f t="shared" si="8"/>
        <v>4.2</v>
      </c>
    </row>
    <row r="142" spans="1:23" hidden="1">
      <c r="A142">
        <v>141</v>
      </c>
      <c r="B142" t="s">
        <v>501</v>
      </c>
      <c r="C142" s="5">
        <v>42618</v>
      </c>
      <c r="D142" s="5">
        <v>42620</v>
      </c>
      <c r="E142" t="s">
        <v>109</v>
      </c>
      <c r="F142" t="s">
        <v>502</v>
      </c>
      <c r="G142" t="s">
        <v>503</v>
      </c>
      <c r="H142" t="s">
        <v>125</v>
      </c>
      <c r="I142" t="s">
        <v>113</v>
      </c>
      <c r="J142" t="s">
        <v>71</v>
      </c>
      <c r="K142" t="s">
        <v>205</v>
      </c>
      <c r="L142">
        <v>19140</v>
      </c>
      <c r="M142" t="s">
        <v>206</v>
      </c>
      <c r="N142" t="s">
        <v>221</v>
      </c>
      <c r="O142" t="s">
        <v>117</v>
      </c>
      <c r="P142" t="s">
        <v>129</v>
      </c>
      <c r="Q142" t="s">
        <v>151</v>
      </c>
      <c r="R142">
        <v>82.800000000000011</v>
      </c>
      <c r="S142">
        <v>2</v>
      </c>
      <c r="T142" s="11">
        <f t="shared" si="6"/>
        <v>0</v>
      </c>
      <c r="U142" s="6">
        <v>49.680000000000007</v>
      </c>
      <c r="V142" s="11">
        <f t="shared" si="7"/>
        <v>0</v>
      </c>
      <c r="W142" s="9">
        <f t="shared" si="8"/>
        <v>0.6</v>
      </c>
    </row>
    <row r="143" spans="1:23" hidden="1">
      <c r="A143">
        <v>142</v>
      </c>
      <c r="B143" t="s">
        <v>504</v>
      </c>
      <c r="C143" s="5">
        <v>42996</v>
      </c>
      <c r="D143" s="5">
        <v>43001</v>
      </c>
      <c r="E143" t="s">
        <v>132</v>
      </c>
      <c r="F143" t="s">
        <v>505</v>
      </c>
      <c r="G143" t="s">
        <v>506</v>
      </c>
      <c r="H143" t="s">
        <v>125</v>
      </c>
      <c r="I143" t="s">
        <v>113</v>
      </c>
      <c r="J143" t="s">
        <v>79</v>
      </c>
      <c r="K143" t="s">
        <v>126</v>
      </c>
      <c r="L143">
        <v>94122</v>
      </c>
      <c r="M143" t="s">
        <v>127</v>
      </c>
      <c r="N143" t="s">
        <v>507</v>
      </c>
      <c r="O143" t="s">
        <v>117</v>
      </c>
      <c r="P143" t="s">
        <v>153</v>
      </c>
      <c r="Q143" t="s">
        <v>154</v>
      </c>
      <c r="R143">
        <v>8.82</v>
      </c>
      <c r="S143">
        <v>3</v>
      </c>
      <c r="T143" s="11">
        <f t="shared" si="6"/>
        <v>0</v>
      </c>
      <c r="U143" s="6">
        <v>7.9379999999999997</v>
      </c>
      <c r="V143" s="11">
        <f t="shared" si="7"/>
        <v>0</v>
      </c>
      <c r="W143" s="9">
        <f t="shared" si="8"/>
        <v>0.89999999999999991</v>
      </c>
    </row>
    <row r="144" spans="1:23" hidden="1">
      <c r="A144">
        <v>143</v>
      </c>
      <c r="B144" t="s">
        <v>504</v>
      </c>
      <c r="C144" s="5">
        <v>42996</v>
      </c>
      <c r="D144" s="5">
        <v>43001</v>
      </c>
      <c r="E144" t="s">
        <v>132</v>
      </c>
      <c r="F144" t="s">
        <v>505</v>
      </c>
      <c r="G144" t="s">
        <v>506</v>
      </c>
      <c r="H144" t="s">
        <v>125</v>
      </c>
      <c r="I144" t="s">
        <v>113</v>
      </c>
      <c r="J144" t="s">
        <v>79</v>
      </c>
      <c r="K144" t="s">
        <v>126</v>
      </c>
      <c r="L144">
        <v>94122</v>
      </c>
      <c r="M144" t="s">
        <v>127</v>
      </c>
      <c r="N144" t="s">
        <v>508</v>
      </c>
      <c r="O144" t="s">
        <v>117</v>
      </c>
      <c r="P144" t="s">
        <v>144</v>
      </c>
      <c r="Q144" t="s">
        <v>156</v>
      </c>
      <c r="R144">
        <v>10.86</v>
      </c>
      <c r="S144">
        <v>3</v>
      </c>
      <c r="T144" s="11">
        <f t="shared" si="6"/>
        <v>0</v>
      </c>
      <c r="U144" s="6">
        <v>9.7739999999999991</v>
      </c>
      <c r="V144" s="11">
        <f t="shared" si="7"/>
        <v>0</v>
      </c>
      <c r="W144" s="9">
        <f t="shared" si="8"/>
        <v>0.9</v>
      </c>
    </row>
    <row r="145" spans="1:23" hidden="1">
      <c r="A145">
        <v>144</v>
      </c>
      <c r="B145" t="s">
        <v>504</v>
      </c>
      <c r="C145" s="5">
        <v>42996</v>
      </c>
      <c r="D145" s="5">
        <v>43001</v>
      </c>
      <c r="E145" t="s">
        <v>132</v>
      </c>
      <c r="F145" t="s">
        <v>505</v>
      </c>
      <c r="G145" t="s">
        <v>506</v>
      </c>
      <c r="H145" t="s">
        <v>125</v>
      </c>
      <c r="I145" t="s">
        <v>113</v>
      </c>
      <c r="J145" t="s">
        <v>79</v>
      </c>
      <c r="K145" t="s">
        <v>126</v>
      </c>
      <c r="L145">
        <v>94122</v>
      </c>
      <c r="M145" t="s">
        <v>127</v>
      </c>
      <c r="N145" t="s">
        <v>509</v>
      </c>
      <c r="O145" t="s">
        <v>117</v>
      </c>
      <c r="P145" t="s">
        <v>158</v>
      </c>
      <c r="Q145" t="s">
        <v>159</v>
      </c>
      <c r="R145">
        <v>143.69999999999999</v>
      </c>
      <c r="S145">
        <v>3</v>
      </c>
      <c r="T145" s="11">
        <f t="shared" si="6"/>
        <v>0</v>
      </c>
      <c r="U145" s="6">
        <v>129.32999999999998</v>
      </c>
      <c r="V145" s="11">
        <f t="shared" si="7"/>
        <v>0</v>
      </c>
      <c r="W145" s="9">
        <f t="shared" si="8"/>
        <v>0.89999999999999991</v>
      </c>
    </row>
    <row r="146" spans="1:23" hidden="1">
      <c r="A146">
        <v>145</v>
      </c>
      <c r="B146" t="s">
        <v>510</v>
      </c>
      <c r="C146" s="5">
        <v>43091</v>
      </c>
      <c r="D146" s="5">
        <v>43096</v>
      </c>
      <c r="E146" t="s">
        <v>132</v>
      </c>
      <c r="F146" t="s">
        <v>511</v>
      </c>
      <c r="G146" t="s">
        <v>512</v>
      </c>
      <c r="H146" t="s">
        <v>112</v>
      </c>
      <c r="I146" t="s">
        <v>113</v>
      </c>
      <c r="J146" t="s">
        <v>62</v>
      </c>
      <c r="K146" t="s">
        <v>513</v>
      </c>
      <c r="L146">
        <v>64055</v>
      </c>
      <c r="M146" t="s">
        <v>174</v>
      </c>
      <c r="N146" t="s">
        <v>514</v>
      </c>
      <c r="O146" t="s">
        <v>117</v>
      </c>
      <c r="P146" t="s">
        <v>35</v>
      </c>
      <c r="Q146" t="s">
        <v>118</v>
      </c>
      <c r="R146">
        <v>839.43000000000006</v>
      </c>
      <c r="S146">
        <v>3</v>
      </c>
      <c r="T146" s="11">
        <f t="shared" si="6"/>
        <v>0</v>
      </c>
      <c r="U146" s="6">
        <v>755.48699999999997</v>
      </c>
      <c r="V146" s="11">
        <f t="shared" si="7"/>
        <v>0</v>
      </c>
      <c r="W146" s="9">
        <f t="shared" si="8"/>
        <v>0.89999999999999991</v>
      </c>
    </row>
    <row r="147" spans="1:23" hidden="1">
      <c r="A147">
        <v>146</v>
      </c>
      <c r="B147" t="s">
        <v>515</v>
      </c>
      <c r="C147" s="5">
        <v>42254</v>
      </c>
      <c r="D147" s="5">
        <v>42259</v>
      </c>
      <c r="E147" t="s">
        <v>132</v>
      </c>
      <c r="F147" t="s">
        <v>516</v>
      </c>
      <c r="G147" t="s">
        <v>517</v>
      </c>
      <c r="H147" t="s">
        <v>112</v>
      </c>
      <c r="I147" t="s">
        <v>113</v>
      </c>
      <c r="J147" t="s">
        <v>518</v>
      </c>
      <c r="K147" t="s">
        <v>126</v>
      </c>
      <c r="L147">
        <v>91104</v>
      </c>
      <c r="M147" t="s">
        <v>127</v>
      </c>
      <c r="N147" t="s">
        <v>363</v>
      </c>
      <c r="O147" t="s">
        <v>117</v>
      </c>
      <c r="P147" t="s">
        <v>120</v>
      </c>
      <c r="Q147" t="s">
        <v>121</v>
      </c>
      <c r="R147">
        <v>671.93</v>
      </c>
      <c r="S147">
        <v>7</v>
      </c>
      <c r="T147" s="11">
        <f t="shared" si="6"/>
        <v>0.05</v>
      </c>
      <c r="U147" s="6">
        <v>1411.0529999999997</v>
      </c>
      <c r="V147" s="11">
        <f t="shared" si="7"/>
        <v>33.596499999999999</v>
      </c>
      <c r="W147" s="9">
        <f t="shared" si="8"/>
        <v>2.0999999999999996</v>
      </c>
    </row>
    <row r="148" spans="1:23" hidden="1">
      <c r="A148">
        <v>147</v>
      </c>
      <c r="B148" t="s">
        <v>519</v>
      </c>
      <c r="C148" s="5">
        <v>41934</v>
      </c>
      <c r="D148" s="5">
        <v>41940</v>
      </c>
      <c r="E148" t="s">
        <v>132</v>
      </c>
      <c r="F148" t="s">
        <v>520</v>
      </c>
      <c r="G148" t="s">
        <v>521</v>
      </c>
      <c r="H148" t="s">
        <v>173</v>
      </c>
      <c r="I148" t="s">
        <v>113</v>
      </c>
      <c r="J148" t="s">
        <v>522</v>
      </c>
      <c r="K148" t="s">
        <v>447</v>
      </c>
      <c r="L148">
        <v>43055</v>
      </c>
      <c r="M148" t="s">
        <v>206</v>
      </c>
      <c r="N148" t="s">
        <v>523</v>
      </c>
      <c r="O148" t="s">
        <v>117</v>
      </c>
      <c r="P148" t="s">
        <v>129</v>
      </c>
      <c r="Q148" t="s">
        <v>130</v>
      </c>
      <c r="R148">
        <v>93.888000000000005</v>
      </c>
      <c r="S148">
        <v>4</v>
      </c>
      <c r="T148" s="11">
        <f t="shared" si="6"/>
        <v>0</v>
      </c>
      <c r="U148" s="6">
        <v>112.6656</v>
      </c>
      <c r="V148" s="11">
        <f t="shared" si="7"/>
        <v>0</v>
      </c>
      <c r="W148" s="9">
        <f t="shared" si="8"/>
        <v>1.2</v>
      </c>
    </row>
    <row r="149" spans="1:23" hidden="1">
      <c r="A149">
        <v>148</v>
      </c>
      <c r="B149" t="s">
        <v>524</v>
      </c>
      <c r="C149" s="5">
        <v>42709</v>
      </c>
      <c r="D149" s="5">
        <v>42713</v>
      </c>
      <c r="E149" t="s">
        <v>132</v>
      </c>
      <c r="F149" t="s">
        <v>525</v>
      </c>
      <c r="G149" t="s">
        <v>526</v>
      </c>
      <c r="H149" t="s">
        <v>125</v>
      </c>
      <c r="I149" t="s">
        <v>113</v>
      </c>
      <c r="J149" t="s">
        <v>56</v>
      </c>
      <c r="K149" t="s">
        <v>181</v>
      </c>
      <c r="L149">
        <v>53132</v>
      </c>
      <c r="M149" t="s">
        <v>174</v>
      </c>
      <c r="N149" t="s">
        <v>527</v>
      </c>
      <c r="O149" t="s">
        <v>117</v>
      </c>
      <c r="P149" t="s">
        <v>35</v>
      </c>
      <c r="Q149" t="s">
        <v>136</v>
      </c>
      <c r="R149">
        <v>384.45</v>
      </c>
      <c r="S149">
        <v>11</v>
      </c>
      <c r="T149" s="11">
        <f t="shared" si="6"/>
        <v>7.4999999999999997E-2</v>
      </c>
      <c r="U149" s="6">
        <v>1268.6849999999999</v>
      </c>
      <c r="V149" s="11">
        <f t="shared" si="7"/>
        <v>28.833749999999998</v>
      </c>
      <c r="W149" s="9">
        <f t="shared" si="8"/>
        <v>3.3</v>
      </c>
    </row>
    <row r="150" spans="1:23" hidden="1">
      <c r="A150">
        <v>149</v>
      </c>
      <c r="B150" t="s">
        <v>524</v>
      </c>
      <c r="C150" s="5">
        <v>42709</v>
      </c>
      <c r="D150" s="5">
        <v>42713</v>
      </c>
      <c r="E150" t="s">
        <v>132</v>
      </c>
      <c r="F150" t="s">
        <v>525</v>
      </c>
      <c r="G150" t="s">
        <v>526</v>
      </c>
      <c r="H150" t="s">
        <v>125</v>
      </c>
      <c r="I150" t="s">
        <v>113</v>
      </c>
      <c r="J150" t="s">
        <v>56</v>
      </c>
      <c r="K150" t="s">
        <v>181</v>
      </c>
      <c r="L150">
        <v>53132</v>
      </c>
      <c r="M150" t="s">
        <v>174</v>
      </c>
      <c r="N150" t="s">
        <v>528</v>
      </c>
      <c r="O150" t="s">
        <v>117</v>
      </c>
      <c r="P150" t="s">
        <v>138</v>
      </c>
      <c r="Q150" t="s">
        <v>139</v>
      </c>
      <c r="R150">
        <v>149.97</v>
      </c>
      <c r="S150">
        <v>3</v>
      </c>
      <c r="T150" s="11">
        <f t="shared" si="6"/>
        <v>0</v>
      </c>
      <c r="U150" s="6">
        <v>134.97299999999998</v>
      </c>
      <c r="V150" s="11">
        <f t="shared" si="7"/>
        <v>0</v>
      </c>
      <c r="W150" s="9">
        <f t="shared" si="8"/>
        <v>0.89999999999999991</v>
      </c>
    </row>
    <row r="151" spans="1:23" hidden="1">
      <c r="A151">
        <v>150</v>
      </c>
      <c r="B151" t="s">
        <v>524</v>
      </c>
      <c r="C151" s="5">
        <v>42709</v>
      </c>
      <c r="D151" s="5">
        <v>42713</v>
      </c>
      <c r="E151" t="s">
        <v>132</v>
      </c>
      <c r="F151" t="s">
        <v>525</v>
      </c>
      <c r="G151" t="s">
        <v>526</v>
      </c>
      <c r="H151" t="s">
        <v>125</v>
      </c>
      <c r="I151" t="s">
        <v>113</v>
      </c>
      <c r="J151" t="s">
        <v>56</v>
      </c>
      <c r="K151" t="s">
        <v>181</v>
      </c>
      <c r="L151">
        <v>53132</v>
      </c>
      <c r="M151" t="s">
        <v>174</v>
      </c>
      <c r="N151" t="s">
        <v>119</v>
      </c>
      <c r="O151" t="s">
        <v>117</v>
      </c>
      <c r="P151" t="s">
        <v>144</v>
      </c>
      <c r="Q151" t="s">
        <v>145</v>
      </c>
      <c r="R151">
        <v>1951.84</v>
      </c>
      <c r="S151">
        <v>8</v>
      </c>
      <c r="T151" s="11">
        <f t="shared" si="6"/>
        <v>0.05</v>
      </c>
      <c r="U151" s="6">
        <v>4684.4159999999993</v>
      </c>
      <c r="V151" s="11">
        <f t="shared" si="7"/>
        <v>97.591999999999999</v>
      </c>
      <c r="W151" s="9">
        <f t="shared" si="8"/>
        <v>2.4</v>
      </c>
    </row>
    <row r="152" spans="1:23" hidden="1">
      <c r="A152">
        <v>151</v>
      </c>
      <c r="B152" t="s">
        <v>524</v>
      </c>
      <c r="C152" s="5">
        <v>42709</v>
      </c>
      <c r="D152" s="5">
        <v>42713</v>
      </c>
      <c r="E152" t="s">
        <v>132</v>
      </c>
      <c r="F152" t="s">
        <v>525</v>
      </c>
      <c r="G152" t="s">
        <v>526</v>
      </c>
      <c r="H152" t="s">
        <v>125</v>
      </c>
      <c r="I152" t="s">
        <v>113</v>
      </c>
      <c r="J152" t="s">
        <v>56</v>
      </c>
      <c r="K152" t="s">
        <v>181</v>
      </c>
      <c r="L152">
        <v>53132</v>
      </c>
      <c r="M152" t="s">
        <v>174</v>
      </c>
      <c r="N152" t="s">
        <v>529</v>
      </c>
      <c r="O152" t="s">
        <v>117</v>
      </c>
      <c r="P152" t="s">
        <v>35</v>
      </c>
      <c r="Q152" t="s">
        <v>147</v>
      </c>
      <c r="R152">
        <v>171.55</v>
      </c>
      <c r="S152">
        <v>5</v>
      </c>
      <c r="T152" s="11">
        <f t="shared" si="6"/>
        <v>0.05</v>
      </c>
      <c r="U152" s="6">
        <v>257.32499999999999</v>
      </c>
      <c r="V152" s="11">
        <f t="shared" si="7"/>
        <v>8.5775000000000006</v>
      </c>
      <c r="W152" s="9">
        <f t="shared" si="8"/>
        <v>1.4999999999999998</v>
      </c>
    </row>
    <row r="153" spans="1:23" hidden="1">
      <c r="A153">
        <v>152</v>
      </c>
      <c r="B153" t="s">
        <v>530</v>
      </c>
      <c r="C153" s="5">
        <v>42442</v>
      </c>
      <c r="D153" s="5">
        <v>42445</v>
      </c>
      <c r="E153" t="s">
        <v>231</v>
      </c>
      <c r="F153" t="s">
        <v>531</v>
      </c>
      <c r="G153" t="s">
        <v>532</v>
      </c>
      <c r="H153" t="s">
        <v>173</v>
      </c>
      <c r="I153" t="s">
        <v>113</v>
      </c>
      <c r="J153" t="s">
        <v>80</v>
      </c>
      <c r="K153" t="s">
        <v>313</v>
      </c>
      <c r="L153">
        <v>85254</v>
      </c>
      <c r="M153" t="s">
        <v>127</v>
      </c>
      <c r="N153" t="s">
        <v>533</v>
      </c>
      <c r="O153" t="s">
        <v>117</v>
      </c>
      <c r="P153" t="s">
        <v>35</v>
      </c>
      <c r="Q153" t="s">
        <v>149</v>
      </c>
      <c r="R153">
        <v>157.91999999999999</v>
      </c>
      <c r="S153">
        <v>5</v>
      </c>
      <c r="T153" s="11">
        <f t="shared" si="6"/>
        <v>0.05</v>
      </c>
      <c r="U153" s="6">
        <v>236.87999999999997</v>
      </c>
      <c r="V153" s="11">
        <f t="shared" si="7"/>
        <v>7.8959999999999999</v>
      </c>
      <c r="W153" s="9">
        <f t="shared" si="8"/>
        <v>1.5</v>
      </c>
    </row>
    <row r="154" spans="1:23" hidden="1">
      <c r="A154">
        <v>153</v>
      </c>
      <c r="B154" t="s">
        <v>530</v>
      </c>
      <c r="C154" s="5">
        <v>42442</v>
      </c>
      <c r="D154" s="5">
        <v>42445</v>
      </c>
      <c r="E154" t="s">
        <v>231</v>
      </c>
      <c r="F154" t="s">
        <v>531</v>
      </c>
      <c r="G154" t="s">
        <v>532</v>
      </c>
      <c r="H154" t="s">
        <v>173</v>
      </c>
      <c r="I154" t="s">
        <v>113</v>
      </c>
      <c r="J154" t="s">
        <v>80</v>
      </c>
      <c r="K154" t="s">
        <v>313</v>
      </c>
      <c r="L154">
        <v>85254</v>
      </c>
      <c r="M154" t="s">
        <v>127</v>
      </c>
      <c r="N154" t="s">
        <v>534</v>
      </c>
      <c r="O154" t="s">
        <v>117</v>
      </c>
      <c r="P154" t="s">
        <v>129</v>
      </c>
      <c r="Q154" t="s">
        <v>151</v>
      </c>
      <c r="R154">
        <v>203.184</v>
      </c>
      <c r="S154">
        <v>2</v>
      </c>
      <c r="T154" s="11">
        <f t="shared" si="6"/>
        <v>0</v>
      </c>
      <c r="U154" s="6">
        <v>121.9104</v>
      </c>
      <c r="V154" s="11">
        <f t="shared" si="7"/>
        <v>0</v>
      </c>
      <c r="W154" s="9">
        <f t="shared" si="8"/>
        <v>0.6</v>
      </c>
    </row>
    <row r="155" spans="1:23" hidden="1">
      <c r="A155">
        <v>154</v>
      </c>
      <c r="B155" t="s">
        <v>535</v>
      </c>
      <c r="C155" s="5">
        <v>42155</v>
      </c>
      <c r="D155" s="5">
        <v>42157</v>
      </c>
      <c r="E155" t="s">
        <v>231</v>
      </c>
      <c r="F155" t="s">
        <v>536</v>
      </c>
      <c r="G155" t="s">
        <v>537</v>
      </c>
      <c r="H155" t="s">
        <v>125</v>
      </c>
      <c r="I155" t="s">
        <v>113</v>
      </c>
      <c r="J155" t="s">
        <v>538</v>
      </c>
      <c r="K155" t="s">
        <v>126</v>
      </c>
      <c r="L155">
        <v>95123</v>
      </c>
      <c r="M155" t="s">
        <v>127</v>
      </c>
      <c r="N155" t="s">
        <v>539</v>
      </c>
      <c r="O155" t="s">
        <v>117</v>
      </c>
      <c r="P155" t="s">
        <v>153</v>
      </c>
      <c r="Q155" t="s">
        <v>154</v>
      </c>
      <c r="R155">
        <v>58.38</v>
      </c>
      <c r="S155">
        <v>7</v>
      </c>
      <c r="T155" s="11">
        <f t="shared" si="6"/>
        <v>0.05</v>
      </c>
      <c r="U155" s="6">
        <v>122.598</v>
      </c>
      <c r="V155" s="11">
        <f t="shared" si="7"/>
        <v>2.9190000000000005</v>
      </c>
      <c r="W155" s="9">
        <f t="shared" si="8"/>
        <v>2.1</v>
      </c>
    </row>
    <row r="156" spans="1:23" hidden="1">
      <c r="A156">
        <v>155</v>
      </c>
      <c r="B156" t="s">
        <v>535</v>
      </c>
      <c r="C156" s="5">
        <v>42155</v>
      </c>
      <c r="D156" s="5">
        <v>42157</v>
      </c>
      <c r="E156" t="s">
        <v>231</v>
      </c>
      <c r="F156" t="s">
        <v>536</v>
      </c>
      <c r="G156" t="s">
        <v>537</v>
      </c>
      <c r="H156" t="s">
        <v>125</v>
      </c>
      <c r="I156" t="s">
        <v>113</v>
      </c>
      <c r="J156" t="s">
        <v>538</v>
      </c>
      <c r="K156" t="s">
        <v>126</v>
      </c>
      <c r="L156">
        <v>95123</v>
      </c>
      <c r="M156" t="s">
        <v>127</v>
      </c>
      <c r="N156" t="s">
        <v>540</v>
      </c>
      <c r="O156" t="s">
        <v>117</v>
      </c>
      <c r="P156" t="s">
        <v>144</v>
      </c>
      <c r="Q156" t="s">
        <v>156</v>
      </c>
      <c r="R156">
        <v>105.52</v>
      </c>
      <c r="S156">
        <v>4</v>
      </c>
      <c r="T156" s="11">
        <f t="shared" si="6"/>
        <v>0</v>
      </c>
      <c r="U156" s="6">
        <v>126.624</v>
      </c>
      <c r="V156" s="11">
        <f t="shared" si="7"/>
        <v>0</v>
      </c>
      <c r="W156" s="9">
        <f t="shared" si="8"/>
        <v>1.2</v>
      </c>
    </row>
    <row r="157" spans="1:23" hidden="1">
      <c r="A157">
        <v>156</v>
      </c>
      <c r="B157" t="s">
        <v>535</v>
      </c>
      <c r="C157" s="5">
        <v>42155</v>
      </c>
      <c r="D157" s="5">
        <v>42157</v>
      </c>
      <c r="E157" t="s">
        <v>231</v>
      </c>
      <c r="F157" t="s">
        <v>536</v>
      </c>
      <c r="G157" t="s">
        <v>537</v>
      </c>
      <c r="H157" t="s">
        <v>125</v>
      </c>
      <c r="I157" t="s">
        <v>113</v>
      </c>
      <c r="J157" t="s">
        <v>538</v>
      </c>
      <c r="K157" t="s">
        <v>126</v>
      </c>
      <c r="L157">
        <v>95123</v>
      </c>
      <c r="M157" t="s">
        <v>127</v>
      </c>
      <c r="N157" t="s">
        <v>541</v>
      </c>
      <c r="O157" t="s">
        <v>117</v>
      </c>
      <c r="P157" t="s">
        <v>158</v>
      </c>
      <c r="Q157" t="s">
        <v>159</v>
      </c>
      <c r="R157">
        <v>80.88</v>
      </c>
      <c r="S157">
        <v>6</v>
      </c>
      <c r="T157" s="11">
        <f t="shared" si="6"/>
        <v>0.05</v>
      </c>
      <c r="U157" s="6">
        <v>145.58399999999997</v>
      </c>
      <c r="V157" s="11">
        <f t="shared" si="7"/>
        <v>4.0439999999999996</v>
      </c>
      <c r="W157" s="9">
        <f t="shared" si="8"/>
        <v>1.7999999999999998</v>
      </c>
    </row>
    <row r="158" spans="1:23" hidden="1">
      <c r="A158">
        <v>157</v>
      </c>
      <c r="B158" t="s">
        <v>542</v>
      </c>
      <c r="C158" s="5">
        <v>42152</v>
      </c>
      <c r="D158" s="5">
        <v>42158</v>
      </c>
      <c r="E158" t="s">
        <v>132</v>
      </c>
      <c r="F158" t="s">
        <v>543</v>
      </c>
      <c r="G158" t="s">
        <v>544</v>
      </c>
      <c r="H158" t="s">
        <v>173</v>
      </c>
      <c r="I158" t="s">
        <v>113</v>
      </c>
      <c r="J158" t="s">
        <v>81</v>
      </c>
      <c r="K158" t="s">
        <v>168</v>
      </c>
      <c r="L158">
        <v>98105</v>
      </c>
      <c r="M158" t="s">
        <v>127</v>
      </c>
      <c r="N158" t="s">
        <v>545</v>
      </c>
      <c r="O158" t="s">
        <v>117</v>
      </c>
      <c r="P158" t="s">
        <v>35</v>
      </c>
      <c r="Q158" t="s">
        <v>118</v>
      </c>
      <c r="R158">
        <v>6.63</v>
      </c>
      <c r="S158">
        <v>3</v>
      </c>
      <c r="T158" s="11">
        <f t="shared" si="6"/>
        <v>0</v>
      </c>
      <c r="U158" s="6">
        <v>5.9669999999999996</v>
      </c>
      <c r="V158" s="11">
        <f t="shared" si="7"/>
        <v>0</v>
      </c>
      <c r="W158" s="9">
        <f t="shared" si="8"/>
        <v>0.89999999999999991</v>
      </c>
    </row>
    <row r="159" spans="1:23" hidden="1">
      <c r="A159">
        <v>158</v>
      </c>
      <c r="B159" t="s">
        <v>546</v>
      </c>
      <c r="C159" s="5">
        <v>41699</v>
      </c>
      <c r="D159" s="5">
        <v>41704</v>
      </c>
      <c r="E159" t="s">
        <v>109</v>
      </c>
      <c r="F159" t="s">
        <v>547</v>
      </c>
      <c r="G159" t="s">
        <v>548</v>
      </c>
      <c r="H159" t="s">
        <v>112</v>
      </c>
      <c r="I159" t="s">
        <v>113</v>
      </c>
      <c r="J159" t="s">
        <v>81</v>
      </c>
      <c r="K159" t="s">
        <v>168</v>
      </c>
      <c r="L159">
        <v>98115</v>
      </c>
      <c r="M159" t="s">
        <v>127</v>
      </c>
      <c r="N159" t="s">
        <v>471</v>
      </c>
      <c r="O159" t="s">
        <v>117</v>
      </c>
      <c r="P159" t="s">
        <v>120</v>
      </c>
      <c r="Q159" t="s">
        <v>121</v>
      </c>
      <c r="R159">
        <v>457.56799999999998</v>
      </c>
      <c r="S159">
        <v>2</v>
      </c>
      <c r="T159" s="11">
        <f t="shared" si="6"/>
        <v>0</v>
      </c>
      <c r="U159" s="6">
        <v>274.54079999999999</v>
      </c>
      <c r="V159" s="11">
        <f t="shared" si="7"/>
        <v>0</v>
      </c>
      <c r="W159" s="9">
        <f t="shared" si="8"/>
        <v>0.6</v>
      </c>
    </row>
    <row r="160" spans="1:23" hidden="1">
      <c r="A160">
        <v>159</v>
      </c>
      <c r="B160" t="s">
        <v>549</v>
      </c>
      <c r="C160" s="5">
        <v>42694</v>
      </c>
      <c r="D160" s="5">
        <v>42698</v>
      </c>
      <c r="E160" t="s">
        <v>132</v>
      </c>
      <c r="F160" t="s">
        <v>550</v>
      </c>
      <c r="G160" t="s">
        <v>551</v>
      </c>
      <c r="H160" t="s">
        <v>112</v>
      </c>
      <c r="I160" t="s">
        <v>113</v>
      </c>
      <c r="J160" t="s">
        <v>53</v>
      </c>
      <c r="K160" t="s">
        <v>552</v>
      </c>
      <c r="L160">
        <v>73034</v>
      </c>
      <c r="M160" t="s">
        <v>174</v>
      </c>
      <c r="N160" t="s">
        <v>553</v>
      </c>
      <c r="O160" t="s">
        <v>117</v>
      </c>
      <c r="P160" t="s">
        <v>129</v>
      </c>
      <c r="Q160" t="s">
        <v>130</v>
      </c>
      <c r="R160">
        <v>14.62</v>
      </c>
      <c r="S160">
        <v>2</v>
      </c>
      <c r="T160" s="11">
        <f t="shared" si="6"/>
        <v>0</v>
      </c>
      <c r="U160" s="6">
        <v>8.7719999999999985</v>
      </c>
      <c r="V160" s="11">
        <f t="shared" si="7"/>
        <v>0</v>
      </c>
      <c r="W160" s="9">
        <f t="shared" si="8"/>
        <v>0.6</v>
      </c>
    </row>
    <row r="161" spans="1:23" hidden="1">
      <c r="A161">
        <v>160</v>
      </c>
      <c r="B161" t="s">
        <v>549</v>
      </c>
      <c r="C161" s="5">
        <v>42694</v>
      </c>
      <c r="D161" s="5">
        <v>42698</v>
      </c>
      <c r="E161" t="s">
        <v>132</v>
      </c>
      <c r="F161" t="s">
        <v>550</v>
      </c>
      <c r="G161" t="s">
        <v>551</v>
      </c>
      <c r="H161" t="s">
        <v>112</v>
      </c>
      <c r="I161" t="s">
        <v>113</v>
      </c>
      <c r="J161" t="s">
        <v>53</v>
      </c>
      <c r="K161" t="s">
        <v>552</v>
      </c>
      <c r="L161">
        <v>73034</v>
      </c>
      <c r="M161" t="s">
        <v>174</v>
      </c>
      <c r="N161" t="s">
        <v>554</v>
      </c>
      <c r="O161" t="s">
        <v>117</v>
      </c>
      <c r="P161" t="s">
        <v>35</v>
      </c>
      <c r="Q161" t="s">
        <v>136</v>
      </c>
      <c r="R161">
        <v>944.93000000000006</v>
      </c>
      <c r="S161">
        <v>7</v>
      </c>
      <c r="T161" s="11">
        <f t="shared" si="6"/>
        <v>0.05</v>
      </c>
      <c r="U161" s="6">
        <v>1984.3530000000001</v>
      </c>
      <c r="V161" s="11">
        <f t="shared" si="7"/>
        <v>47.246500000000005</v>
      </c>
      <c r="W161" s="9">
        <f t="shared" si="8"/>
        <v>2.1</v>
      </c>
    </row>
    <row r="162" spans="1:23" hidden="1">
      <c r="A162">
        <v>161</v>
      </c>
      <c r="B162" t="s">
        <v>555</v>
      </c>
      <c r="C162" s="5">
        <v>42501</v>
      </c>
      <c r="D162" s="5">
        <v>42502</v>
      </c>
      <c r="E162" t="s">
        <v>231</v>
      </c>
      <c r="F162" t="s">
        <v>556</v>
      </c>
      <c r="G162" t="s">
        <v>557</v>
      </c>
      <c r="H162" t="s">
        <v>112</v>
      </c>
      <c r="I162" t="s">
        <v>113</v>
      </c>
      <c r="J162" t="s">
        <v>63</v>
      </c>
      <c r="K162" t="s">
        <v>126</v>
      </c>
      <c r="L162">
        <v>90045</v>
      </c>
      <c r="M162" t="s">
        <v>127</v>
      </c>
      <c r="N162" t="s">
        <v>558</v>
      </c>
      <c r="O162" t="s">
        <v>117</v>
      </c>
      <c r="P162" t="s">
        <v>138</v>
      </c>
      <c r="Q162" t="s">
        <v>139</v>
      </c>
      <c r="R162">
        <v>5.98</v>
      </c>
      <c r="S162">
        <v>1</v>
      </c>
      <c r="T162" s="11">
        <f t="shared" si="6"/>
        <v>0</v>
      </c>
      <c r="U162" s="6">
        <v>1.794</v>
      </c>
      <c r="V162" s="11">
        <f t="shared" si="7"/>
        <v>0</v>
      </c>
      <c r="W162" s="9">
        <f t="shared" si="8"/>
        <v>0.3</v>
      </c>
    </row>
    <row r="163" spans="1:23" hidden="1">
      <c r="A163">
        <v>162</v>
      </c>
      <c r="B163" t="s">
        <v>559</v>
      </c>
      <c r="C163" s="5">
        <v>42366</v>
      </c>
      <c r="D163" s="5">
        <v>42369</v>
      </c>
      <c r="E163" t="s">
        <v>109</v>
      </c>
      <c r="F163" t="s">
        <v>560</v>
      </c>
      <c r="G163" t="s">
        <v>561</v>
      </c>
      <c r="H163" t="s">
        <v>112</v>
      </c>
      <c r="I163" t="s">
        <v>113</v>
      </c>
      <c r="J163" t="s">
        <v>71</v>
      </c>
      <c r="K163" t="s">
        <v>205</v>
      </c>
      <c r="L163">
        <v>19134</v>
      </c>
      <c r="M163" t="s">
        <v>206</v>
      </c>
      <c r="N163" t="s">
        <v>562</v>
      </c>
      <c r="O163" t="s">
        <v>117</v>
      </c>
      <c r="P163" t="s">
        <v>144</v>
      </c>
      <c r="Q163" t="s">
        <v>145</v>
      </c>
      <c r="R163">
        <v>54.384000000000007</v>
      </c>
      <c r="S163">
        <v>2</v>
      </c>
      <c r="T163" s="11">
        <f t="shared" si="6"/>
        <v>0</v>
      </c>
      <c r="U163" s="6">
        <v>32.630400000000002</v>
      </c>
      <c r="V163" s="11">
        <f t="shared" si="7"/>
        <v>0</v>
      </c>
      <c r="W163" s="9">
        <f t="shared" si="8"/>
        <v>0.6</v>
      </c>
    </row>
    <row r="164" spans="1:23" hidden="1">
      <c r="A164">
        <v>163</v>
      </c>
      <c r="B164" t="s">
        <v>563</v>
      </c>
      <c r="C164" s="5">
        <v>42690</v>
      </c>
      <c r="D164" s="5">
        <v>42694</v>
      </c>
      <c r="E164" t="s">
        <v>132</v>
      </c>
      <c r="F164" t="s">
        <v>564</v>
      </c>
      <c r="G164" t="s">
        <v>565</v>
      </c>
      <c r="H164" t="s">
        <v>112</v>
      </c>
      <c r="I164" t="s">
        <v>113</v>
      </c>
      <c r="J164" t="s">
        <v>41</v>
      </c>
      <c r="K164" t="s">
        <v>566</v>
      </c>
      <c r="L164">
        <v>88220</v>
      </c>
      <c r="M164" t="s">
        <v>127</v>
      </c>
      <c r="N164" t="s">
        <v>567</v>
      </c>
      <c r="O164" t="s">
        <v>117</v>
      </c>
      <c r="P164" t="s">
        <v>35</v>
      </c>
      <c r="Q164" t="s">
        <v>147</v>
      </c>
      <c r="R164">
        <v>28.4</v>
      </c>
      <c r="S164">
        <v>5</v>
      </c>
      <c r="T164" s="11">
        <f t="shared" si="6"/>
        <v>0.05</v>
      </c>
      <c r="U164" s="6">
        <v>42.6</v>
      </c>
      <c r="V164" s="11">
        <f t="shared" si="7"/>
        <v>1.42</v>
      </c>
      <c r="W164" s="9">
        <f t="shared" si="8"/>
        <v>1.5000000000000002</v>
      </c>
    </row>
    <row r="165" spans="1:23" hidden="1">
      <c r="A165">
        <v>164</v>
      </c>
      <c r="B165" t="s">
        <v>568</v>
      </c>
      <c r="C165" s="5">
        <v>42681</v>
      </c>
      <c r="D165" s="5">
        <v>42685</v>
      </c>
      <c r="E165" t="s">
        <v>132</v>
      </c>
      <c r="F165" t="s">
        <v>569</v>
      </c>
      <c r="G165" t="s">
        <v>570</v>
      </c>
      <c r="H165" t="s">
        <v>112</v>
      </c>
      <c r="I165" t="s">
        <v>113</v>
      </c>
      <c r="J165" t="s">
        <v>81</v>
      </c>
      <c r="K165" t="s">
        <v>168</v>
      </c>
      <c r="L165">
        <v>98115</v>
      </c>
      <c r="M165" t="s">
        <v>127</v>
      </c>
      <c r="N165" t="s">
        <v>571</v>
      </c>
      <c r="O165" t="s">
        <v>117</v>
      </c>
      <c r="P165" t="s">
        <v>35</v>
      </c>
      <c r="Q165" t="s">
        <v>149</v>
      </c>
      <c r="R165">
        <v>27.68</v>
      </c>
      <c r="S165">
        <v>2</v>
      </c>
      <c r="T165" s="11">
        <f t="shared" si="6"/>
        <v>0</v>
      </c>
      <c r="U165" s="6">
        <v>16.608000000000001</v>
      </c>
      <c r="V165" s="11">
        <f t="shared" si="7"/>
        <v>0</v>
      </c>
      <c r="W165" s="9">
        <f t="shared" si="8"/>
        <v>0.6</v>
      </c>
    </row>
    <row r="166" spans="1:23" hidden="1">
      <c r="A166">
        <v>165</v>
      </c>
      <c r="B166" t="s">
        <v>572</v>
      </c>
      <c r="C166" s="5">
        <v>41890</v>
      </c>
      <c r="D166" s="5">
        <v>41894</v>
      </c>
      <c r="E166" t="s">
        <v>132</v>
      </c>
      <c r="F166" t="s">
        <v>573</v>
      </c>
      <c r="G166" t="s">
        <v>574</v>
      </c>
      <c r="H166" t="s">
        <v>112</v>
      </c>
      <c r="I166" t="s">
        <v>113</v>
      </c>
      <c r="J166" t="s">
        <v>78</v>
      </c>
      <c r="K166" t="s">
        <v>1</v>
      </c>
      <c r="L166">
        <v>78207</v>
      </c>
      <c r="M166" t="s">
        <v>174</v>
      </c>
      <c r="N166" t="s">
        <v>575</v>
      </c>
      <c r="O166" t="s">
        <v>117</v>
      </c>
      <c r="P166" t="s">
        <v>129</v>
      </c>
      <c r="Q166" t="s">
        <v>151</v>
      </c>
      <c r="R166">
        <v>9.9359999999999999</v>
      </c>
      <c r="S166">
        <v>3</v>
      </c>
      <c r="T166" s="11">
        <f t="shared" si="6"/>
        <v>0</v>
      </c>
      <c r="U166" s="6">
        <v>8.9423999999999992</v>
      </c>
      <c r="V166" s="11">
        <f t="shared" si="7"/>
        <v>0</v>
      </c>
      <c r="W166" s="9">
        <f t="shared" si="8"/>
        <v>0.89999999999999991</v>
      </c>
    </row>
    <row r="167" spans="1:23" hidden="1">
      <c r="A167">
        <v>166</v>
      </c>
      <c r="B167" t="s">
        <v>572</v>
      </c>
      <c r="C167" s="5">
        <v>41890</v>
      </c>
      <c r="D167" s="5">
        <v>41894</v>
      </c>
      <c r="E167" t="s">
        <v>132</v>
      </c>
      <c r="F167" t="s">
        <v>573</v>
      </c>
      <c r="G167" t="s">
        <v>574</v>
      </c>
      <c r="H167" t="s">
        <v>112</v>
      </c>
      <c r="I167" t="s">
        <v>113</v>
      </c>
      <c r="J167" t="s">
        <v>78</v>
      </c>
      <c r="K167" t="s">
        <v>1</v>
      </c>
      <c r="L167">
        <v>78207</v>
      </c>
      <c r="M167" t="s">
        <v>174</v>
      </c>
      <c r="N167" t="s">
        <v>576</v>
      </c>
      <c r="O167" t="s">
        <v>117</v>
      </c>
      <c r="P167" t="s">
        <v>153</v>
      </c>
      <c r="Q167" t="s">
        <v>154</v>
      </c>
      <c r="R167">
        <v>8159.9519999999993</v>
      </c>
      <c r="S167">
        <v>8</v>
      </c>
      <c r="T167" s="11">
        <f t="shared" si="6"/>
        <v>0.05</v>
      </c>
      <c r="U167" s="6">
        <v>19583.884799999996</v>
      </c>
      <c r="V167" s="11">
        <f t="shared" si="7"/>
        <v>407.99759999999998</v>
      </c>
      <c r="W167" s="9">
        <f t="shared" si="8"/>
        <v>2.4</v>
      </c>
    </row>
    <row r="168" spans="1:23" hidden="1">
      <c r="A168">
        <v>167</v>
      </c>
      <c r="B168" t="s">
        <v>572</v>
      </c>
      <c r="C168" s="5">
        <v>41890</v>
      </c>
      <c r="D168" s="5">
        <v>41894</v>
      </c>
      <c r="E168" t="s">
        <v>132</v>
      </c>
      <c r="F168" t="s">
        <v>573</v>
      </c>
      <c r="G168" t="s">
        <v>574</v>
      </c>
      <c r="H168" t="s">
        <v>112</v>
      </c>
      <c r="I168" t="s">
        <v>113</v>
      </c>
      <c r="J168" t="s">
        <v>78</v>
      </c>
      <c r="K168" t="s">
        <v>1</v>
      </c>
      <c r="L168">
        <v>78207</v>
      </c>
      <c r="M168" t="s">
        <v>174</v>
      </c>
      <c r="N168" t="s">
        <v>577</v>
      </c>
      <c r="O168" t="s">
        <v>117</v>
      </c>
      <c r="P168" t="s">
        <v>144</v>
      </c>
      <c r="Q168" t="s">
        <v>156</v>
      </c>
      <c r="R168">
        <v>275.928</v>
      </c>
      <c r="S168">
        <v>3</v>
      </c>
      <c r="T168" s="11">
        <f t="shared" si="6"/>
        <v>0</v>
      </c>
      <c r="U168" s="6">
        <v>248.33519999999999</v>
      </c>
      <c r="V168" s="11">
        <f t="shared" si="7"/>
        <v>0</v>
      </c>
      <c r="W168" s="9">
        <f t="shared" si="8"/>
        <v>0.89999999999999991</v>
      </c>
    </row>
    <row r="169" spans="1:23" hidden="1">
      <c r="A169">
        <v>168</v>
      </c>
      <c r="B169" t="s">
        <v>572</v>
      </c>
      <c r="C169" s="5">
        <v>41890</v>
      </c>
      <c r="D169" s="5">
        <v>41894</v>
      </c>
      <c r="E169" t="s">
        <v>132</v>
      </c>
      <c r="F169" t="s">
        <v>573</v>
      </c>
      <c r="G169" t="s">
        <v>574</v>
      </c>
      <c r="H169" t="s">
        <v>112</v>
      </c>
      <c r="I169" t="s">
        <v>113</v>
      </c>
      <c r="J169" t="s">
        <v>78</v>
      </c>
      <c r="K169" t="s">
        <v>1</v>
      </c>
      <c r="L169">
        <v>78207</v>
      </c>
      <c r="M169" t="s">
        <v>174</v>
      </c>
      <c r="N169" t="s">
        <v>578</v>
      </c>
      <c r="O169" t="s">
        <v>117</v>
      </c>
      <c r="P169" t="s">
        <v>158</v>
      </c>
      <c r="Q169" t="s">
        <v>159</v>
      </c>
      <c r="R169">
        <v>1740.06</v>
      </c>
      <c r="S169">
        <v>9</v>
      </c>
      <c r="T169" s="11">
        <f t="shared" si="6"/>
        <v>0.05</v>
      </c>
      <c r="U169" s="6">
        <v>4698.1619999999994</v>
      </c>
      <c r="V169" s="11">
        <f t="shared" si="7"/>
        <v>87.003</v>
      </c>
      <c r="W169" s="9">
        <f t="shared" si="8"/>
        <v>2.6999999999999997</v>
      </c>
    </row>
    <row r="170" spans="1:23" hidden="1">
      <c r="A170">
        <v>169</v>
      </c>
      <c r="B170" t="s">
        <v>572</v>
      </c>
      <c r="C170" s="5">
        <v>41890</v>
      </c>
      <c r="D170" s="5">
        <v>41894</v>
      </c>
      <c r="E170" t="s">
        <v>132</v>
      </c>
      <c r="F170" t="s">
        <v>573</v>
      </c>
      <c r="G170" t="s">
        <v>574</v>
      </c>
      <c r="H170" t="s">
        <v>112</v>
      </c>
      <c r="I170" t="s">
        <v>113</v>
      </c>
      <c r="J170" t="s">
        <v>78</v>
      </c>
      <c r="K170" t="s">
        <v>1</v>
      </c>
      <c r="L170">
        <v>78207</v>
      </c>
      <c r="M170" t="s">
        <v>174</v>
      </c>
      <c r="N170" t="s">
        <v>579</v>
      </c>
      <c r="O170" t="s">
        <v>117</v>
      </c>
      <c r="P170" t="s">
        <v>35</v>
      </c>
      <c r="Q170" t="s">
        <v>118</v>
      </c>
      <c r="R170">
        <v>32.064</v>
      </c>
      <c r="S170">
        <v>6</v>
      </c>
      <c r="T170" s="11">
        <f t="shared" si="6"/>
        <v>0.05</v>
      </c>
      <c r="U170" s="6">
        <v>57.715200000000003</v>
      </c>
      <c r="V170" s="11">
        <f t="shared" si="7"/>
        <v>1.6032000000000002</v>
      </c>
      <c r="W170" s="9">
        <f t="shared" si="8"/>
        <v>1.8</v>
      </c>
    </row>
    <row r="171" spans="1:23" hidden="1">
      <c r="A171">
        <v>170</v>
      </c>
      <c r="B171" t="s">
        <v>572</v>
      </c>
      <c r="C171" s="5">
        <v>41890</v>
      </c>
      <c r="D171" s="5">
        <v>41894</v>
      </c>
      <c r="E171" t="s">
        <v>132</v>
      </c>
      <c r="F171" t="s">
        <v>573</v>
      </c>
      <c r="G171" t="s">
        <v>574</v>
      </c>
      <c r="H171" t="s">
        <v>112</v>
      </c>
      <c r="I171" t="s">
        <v>113</v>
      </c>
      <c r="J171" t="s">
        <v>78</v>
      </c>
      <c r="K171" t="s">
        <v>1</v>
      </c>
      <c r="L171">
        <v>78207</v>
      </c>
      <c r="M171" t="s">
        <v>174</v>
      </c>
      <c r="N171" t="s">
        <v>580</v>
      </c>
      <c r="O171" t="s">
        <v>117</v>
      </c>
      <c r="P171" t="s">
        <v>120</v>
      </c>
      <c r="Q171" t="s">
        <v>121</v>
      </c>
      <c r="R171">
        <v>177.98</v>
      </c>
      <c r="S171">
        <v>5</v>
      </c>
      <c r="T171" s="11">
        <f t="shared" si="6"/>
        <v>0.05</v>
      </c>
      <c r="U171" s="6">
        <v>266.96999999999997</v>
      </c>
      <c r="V171" s="11">
        <f t="shared" si="7"/>
        <v>8.8989999999999991</v>
      </c>
      <c r="W171" s="9">
        <f t="shared" si="8"/>
        <v>1.5</v>
      </c>
    </row>
    <row r="172" spans="1:23" hidden="1">
      <c r="A172">
        <v>171</v>
      </c>
      <c r="B172" t="s">
        <v>572</v>
      </c>
      <c r="C172" s="5">
        <v>41890</v>
      </c>
      <c r="D172" s="5">
        <v>41894</v>
      </c>
      <c r="E172" t="s">
        <v>132</v>
      </c>
      <c r="F172" t="s">
        <v>573</v>
      </c>
      <c r="G172" t="s">
        <v>574</v>
      </c>
      <c r="H172" t="s">
        <v>112</v>
      </c>
      <c r="I172" t="s">
        <v>113</v>
      </c>
      <c r="J172" t="s">
        <v>78</v>
      </c>
      <c r="K172" t="s">
        <v>1</v>
      </c>
      <c r="L172">
        <v>78207</v>
      </c>
      <c r="M172" t="s">
        <v>174</v>
      </c>
      <c r="N172" t="s">
        <v>581</v>
      </c>
      <c r="O172" t="s">
        <v>117</v>
      </c>
      <c r="P172" t="s">
        <v>129</v>
      </c>
      <c r="Q172" t="s">
        <v>130</v>
      </c>
      <c r="R172">
        <v>143.976</v>
      </c>
      <c r="S172">
        <v>3</v>
      </c>
      <c r="T172" s="11">
        <f t="shared" si="6"/>
        <v>0</v>
      </c>
      <c r="U172" s="6">
        <v>129.57839999999999</v>
      </c>
      <c r="V172" s="11">
        <f t="shared" si="7"/>
        <v>0</v>
      </c>
      <c r="W172" s="9">
        <f t="shared" si="8"/>
        <v>0.89999999999999991</v>
      </c>
    </row>
    <row r="173" spans="1:23">
      <c r="A173">
        <v>172</v>
      </c>
      <c r="B173" t="s">
        <v>582</v>
      </c>
      <c r="C173" s="5">
        <v>41856</v>
      </c>
      <c r="D173" s="5">
        <v>41860</v>
      </c>
      <c r="E173" t="s">
        <v>132</v>
      </c>
      <c r="F173" t="s">
        <v>583</v>
      </c>
      <c r="G173" t="s">
        <v>584</v>
      </c>
      <c r="H173" t="s">
        <v>112</v>
      </c>
      <c r="I173" t="s">
        <v>113</v>
      </c>
      <c r="J173" t="s">
        <v>63</v>
      </c>
      <c r="K173" t="s">
        <v>126</v>
      </c>
      <c r="L173">
        <v>90004</v>
      </c>
      <c r="M173" t="s">
        <v>127</v>
      </c>
      <c r="N173" t="s">
        <v>585</v>
      </c>
      <c r="O173" t="s">
        <v>117</v>
      </c>
      <c r="P173" t="s">
        <v>35</v>
      </c>
      <c r="Q173" t="s">
        <v>136</v>
      </c>
      <c r="R173" s="9">
        <v>20.94</v>
      </c>
      <c r="S173">
        <v>3</v>
      </c>
      <c r="T173" s="11">
        <f t="shared" si="6"/>
        <v>0</v>
      </c>
      <c r="U173" s="9">
        <v>18.846</v>
      </c>
      <c r="V173" s="9">
        <f t="shared" si="7"/>
        <v>0</v>
      </c>
      <c r="W173" s="9">
        <f t="shared" si="8"/>
        <v>0.89999999999999991</v>
      </c>
    </row>
    <row r="174" spans="1:23" hidden="1">
      <c r="A174">
        <v>173</v>
      </c>
      <c r="B174" t="s">
        <v>582</v>
      </c>
      <c r="C174" s="5">
        <v>41856</v>
      </c>
      <c r="D174" s="5">
        <v>41860</v>
      </c>
      <c r="E174" t="s">
        <v>132</v>
      </c>
      <c r="F174" t="s">
        <v>583</v>
      </c>
      <c r="G174" t="s">
        <v>584</v>
      </c>
      <c r="H174" t="s">
        <v>112</v>
      </c>
      <c r="I174" t="s">
        <v>113</v>
      </c>
      <c r="J174" t="s">
        <v>63</v>
      </c>
      <c r="K174" t="s">
        <v>126</v>
      </c>
      <c r="L174">
        <v>90004</v>
      </c>
      <c r="M174" t="s">
        <v>127</v>
      </c>
      <c r="N174" t="s">
        <v>586</v>
      </c>
      <c r="O174" t="s">
        <v>117</v>
      </c>
      <c r="P174" t="s">
        <v>138</v>
      </c>
      <c r="Q174" t="s">
        <v>139</v>
      </c>
      <c r="R174">
        <v>110.96</v>
      </c>
      <c r="S174">
        <v>2</v>
      </c>
      <c r="T174" s="11">
        <f t="shared" si="6"/>
        <v>0</v>
      </c>
      <c r="U174" s="6">
        <v>66.575999999999993</v>
      </c>
      <c r="V174" s="11">
        <f t="shared" si="7"/>
        <v>0</v>
      </c>
      <c r="W174" s="9">
        <f t="shared" si="8"/>
        <v>0.6</v>
      </c>
    </row>
    <row r="175" spans="1:23" hidden="1">
      <c r="A175">
        <v>174</v>
      </c>
      <c r="B175" t="s">
        <v>582</v>
      </c>
      <c r="C175" s="5">
        <v>41856</v>
      </c>
      <c r="D175" s="5">
        <v>41860</v>
      </c>
      <c r="E175" t="s">
        <v>132</v>
      </c>
      <c r="F175" t="s">
        <v>583</v>
      </c>
      <c r="G175" t="s">
        <v>584</v>
      </c>
      <c r="H175" t="s">
        <v>112</v>
      </c>
      <c r="I175" t="s">
        <v>113</v>
      </c>
      <c r="J175" t="s">
        <v>63</v>
      </c>
      <c r="K175" t="s">
        <v>126</v>
      </c>
      <c r="L175">
        <v>90004</v>
      </c>
      <c r="M175" t="s">
        <v>127</v>
      </c>
      <c r="N175" t="s">
        <v>587</v>
      </c>
      <c r="O175" t="s">
        <v>117</v>
      </c>
      <c r="P175" t="s">
        <v>144</v>
      </c>
      <c r="Q175" t="s">
        <v>145</v>
      </c>
      <c r="R175">
        <v>340.14400000000012</v>
      </c>
      <c r="S175">
        <v>7</v>
      </c>
      <c r="T175" s="11">
        <f t="shared" si="6"/>
        <v>0.05</v>
      </c>
      <c r="U175" s="6">
        <v>714.30240000000015</v>
      </c>
      <c r="V175" s="11">
        <f t="shared" si="7"/>
        <v>17.007200000000008</v>
      </c>
      <c r="W175" s="9">
        <f t="shared" si="8"/>
        <v>2.0999999999999996</v>
      </c>
    </row>
    <row r="176" spans="1:23" hidden="1">
      <c r="A176">
        <v>175</v>
      </c>
      <c r="B176" t="s">
        <v>588</v>
      </c>
      <c r="C176" s="5">
        <v>41896</v>
      </c>
      <c r="D176" s="5">
        <v>41901</v>
      </c>
      <c r="E176" t="s">
        <v>132</v>
      </c>
      <c r="F176" t="s">
        <v>589</v>
      </c>
      <c r="G176" t="s">
        <v>590</v>
      </c>
      <c r="H176" t="s">
        <v>125</v>
      </c>
      <c r="I176" t="s">
        <v>113</v>
      </c>
      <c r="J176" t="s">
        <v>43</v>
      </c>
      <c r="K176" t="s">
        <v>247</v>
      </c>
      <c r="L176">
        <v>60623</v>
      </c>
      <c r="M176" t="s">
        <v>174</v>
      </c>
      <c r="N176" t="s">
        <v>591</v>
      </c>
      <c r="O176" t="s">
        <v>117</v>
      </c>
      <c r="P176" t="s">
        <v>35</v>
      </c>
      <c r="Q176" t="s">
        <v>147</v>
      </c>
      <c r="R176">
        <v>52.447999999999993</v>
      </c>
      <c r="S176">
        <v>2</v>
      </c>
      <c r="T176" s="11">
        <f t="shared" si="6"/>
        <v>0</v>
      </c>
      <c r="U176" s="6">
        <v>31.468799999999995</v>
      </c>
      <c r="V176" s="11">
        <f t="shared" si="7"/>
        <v>0</v>
      </c>
      <c r="W176" s="9">
        <f t="shared" si="8"/>
        <v>0.6</v>
      </c>
    </row>
    <row r="177" spans="1:23" hidden="1">
      <c r="A177">
        <v>176</v>
      </c>
      <c r="B177" t="s">
        <v>588</v>
      </c>
      <c r="C177" s="5">
        <v>41896</v>
      </c>
      <c r="D177" s="5">
        <v>41901</v>
      </c>
      <c r="E177" t="s">
        <v>132</v>
      </c>
      <c r="F177" t="s">
        <v>589</v>
      </c>
      <c r="G177" t="s">
        <v>590</v>
      </c>
      <c r="H177" t="s">
        <v>125</v>
      </c>
      <c r="I177" t="s">
        <v>113</v>
      </c>
      <c r="J177" t="s">
        <v>43</v>
      </c>
      <c r="K177" t="s">
        <v>247</v>
      </c>
      <c r="L177">
        <v>60623</v>
      </c>
      <c r="M177" t="s">
        <v>174</v>
      </c>
      <c r="N177" t="s">
        <v>592</v>
      </c>
      <c r="O177" t="s">
        <v>117</v>
      </c>
      <c r="P177" t="s">
        <v>35</v>
      </c>
      <c r="Q177" t="s">
        <v>149</v>
      </c>
      <c r="R177">
        <v>20.16</v>
      </c>
      <c r="S177">
        <v>4</v>
      </c>
      <c r="T177" s="11">
        <f t="shared" si="6"/>
        <v>0</v>
      </c>
      <c r="U177" s="6">
        <v>24.192</v>
      </c>
      <c r="V177" s="11">
        <f t="shared" si="7"/>
        <v>0</v>
      </c>
      <c r="W177" s="9">
        <f t="shared" si="8"/>
        <v>1.2</v>
      </c>
    </row>
    <row r="178" spans="1:23" hidden="1">
      <c r="A178">
        <v>177</v>
      </c>
      <c r="B178" t="s">
        <v>593</v>
      </c>
      <c r="C178" s="5">
        <v>42846</v>
      </c>
      <c r="D178" s="5">
        <v>42850</v>
      </c>
      <c r="E178" t="s">
        <v>109</v>
      </c>
      <c r="F178" t="s">
        <v>594</v>
      </c>
      <c r="G178" t="s">
        <v>595</v>
      </c>
      <c r="H178" t="s">
        <v>112</v>
      </c>
      <c r="I178" t="s">
        <v>113</v>
      </c>
      <c r="J178" t="s">
        <v>61</v>
      </c>
      <c r="K178" t="s">
        <v>1</v>
      </c>
      <c r="L178">
        <v>77036</v>
      </c>
      <c r="M178" t="s">
        <v>174</v>
      </c>
      <c r="N178" t="s">
        <v>596</v>
      </c>
      <c r="O178" t="s">
        <v>117</v>
      </c>
      <c r="P178" t="s">
        <v>129</v>
      </c>
      <c r="Q178" t="s">
        <v>151</v>
      </c>
      <c r="R178">
        <v>97.263999999999982</v>
      </c>
      <c r="S178">
        <v>4</v>
      </c>
      <c r="T178" s="11">
        <f t="shared" si="6"/>
        <v>0</v>
      </c>
      <c r="U178" s="6">
        <v>116.71679999999998</v>
      </c>
      <c r="V178" s="11">
        <f t="shared" si="7"/>
        <v>0</v>
      </c>
      <c r="W178" s="9">
        <f t="shared" si="8"/>
        <v>1.2</v>
      </c>
    </row>
    <row r="179" spans="1:23" hidden="1">
      <c r="A179">
        <v>178</v>
      </c>
      <c r="B179" t="s">
        <v>597</v>
      </c>
      <c r="C179" s="5">
        <v>42329</v>
      </c>
      <c r="D179" s="5">
        <v>42331</v>
      </c>
      <c r="E179" t="s">
        <v>109</v>
      </c>
      <c r="F179" t="s">
        <v>330</v>
      </c>
      <c r="G179" t="s">
        <v>331</v>
      </c>
      <c r="H179" t="s">
        <v>112</v>
      </c>
      <c r="I179" t="s">
        <v>113</v>
      </c>
      <c r="J179" t="s">
        <v>522</v>
      </c>
      <c r="K179" t="s">
        <v>447</v>
      </c>
      <c r="L179">
        <v>43055</v>
      </c>
      <c r="M179" t="s">
        <v>206</v>
      </c>
      <c r="N179" t="s">
        <v>598</v>
      </c>
      <c r="O179" t="s">
        <v>117</v>
      </c>
      <c r="P179" t="s">
        <v>153</v>
      </c>
      <c r="Q179" t="s">
        <v>154</v>
      </c>
      <c r="R179">
        <v>396.80200000000002</v>
      </c>
      <c r="S179">
        <v>7</v>
      </c>
      <c r="T179" s="11">
        <f t="shared" si="6"/>
        <v>0.05</v>
      </c>
      <c r="U179" s="6">
        <v>833.28419999999994</v>
      </c>
      <c r="V179" s="11">
        <f t="shared" si="7"/>
        <v>19.840100000000003</v>
      </c>
      <c r="W179" s="9">
        <f t="shared" si="8"/>
        <v>2.0999999999999996</v>
      </c>
    </row>
    <row r="180" spans="1:23" hidden="1">
      <c r="A180">
        <v>179</v>
      </c>
      <c r="B180" t="s">
        <v>597</v>
      </c>
      <c r="C180" s="5">
        <v>42329</v>
      </c>
      <c r="D180" s="5">
        <v>42331</v>
      </c>
      <c r="E180" t="s">
        <v>109</v>
      </c>
      <c r="F180" t="s">
        <v>330</v>
      </c>
      <c r="G180" t="s">
        <v>331</v>
      </c>
      <c r="H180" t="s">
        <v>112</v>
      </c>
      <c r="I180" t="s">
        <v>113</v>
      </c>
      <c r="J180" t="s">
        <v>522</v>
      </c>
      <c r="K180" t="s">
        <v>447</v>
      </c>
      <c r="L180">
        <v>43055</v>
      </c>
      <c r="M180" t="s">
        <v>206</v>
      </c>
      <c r="N180" t="s">
        <v>599</v>
      </c>
      <c r="O180" t="s">
        <v>117</v>
      </c>
      <c r="P180" t="s">
        <v>144</v>
      </c>
      <c r="Q180" t="s">
        <v>156</v>
      </c>
      <c r="R180">
        <v>15.88</v>
      </c>
      <c r="S180">
        <v>5</v>
      </c>
      <c r="T180" s="11">
        <f t="shared" si="6"/>
        <v>0.05</v>
      </c>
      <c r="U180" s="6">
        <v>23.82</v>
      </c>
      <c r="V180" s="11">
        <f t="shared" si="7"/>
        <v>0.79400000000000004</v>
      </c>
      <c r="W180" s="9">
        <f t="shared" si="8"/>
        <v>1.5</v>
      </c>
    </row>
    <row r="181" spans="1:23" hidden="1">
      <c r="A181">
        <v>180</v>
      </c>
      <c r="B181" t="s">
        <v>600</v>
      </c>
      <c r="C181" s="5">
        <v>42353</v>
      </c>
      <c r="D181" s="5">
        <v>42357</v>
      </c>
      <c r="E181" t="s">
        <v>132</v>
      </c>
      <c r="F181" t="s">
        <v>601</v>
      </c>
      <c r="G181" t="s">
        <v>602</v>
      </c>
      <c r="H181" t="s">
        <v>173</v>
      </c>
      <c r="I181" t="s">
        <v>113</v>
      </c>
      <c r="J181" t="s">
        <v>69</v>
      </c>
      <c r="K181" t="s">
        <v>287</v>
      </c>
      <c r="L181">
        <v>10009</v>
      </c>
      <c r="M181" t="s">
        <v>206</v>
      </c>
      <c r="N181" t="s">
        <v>603</v>
      </c>
      <c r="O181" t="s">
        <v>117</v>
      </c>
      <c r="P181" t="s">
        <v>158</v>
      </c>
      <c r="Q181" t="s">
        <v>159</v>
      </c>
      <c r="R181">
        <v>3.28</v>
      </c>
      <c r="S181">
        <v>1</v>
      </c>
      <c r="T181" s="11">
        <f t="shared" si="6"/>
        <v>0</v>
      </c>
      <c r="U181" s="6">
        <v>0.98399999999999987</v>
      </c>
      <c r="V181" s="11">
        <f t="shared" si="7"/>
        <v>0</v>
      </c>
      <c r="W181" s="9">
        <f t="shared" si="8"/>
        <v>0.3</v>
      </c>
    </row>
    <row r="182" spans="1:23" hidden="1">
      <c r="A182">
        <v>181</v>
      </c>
      <c r="B182" t="s">
        <v>604</v>
      </c>
      <c r="C182" s="5">
        <v>41978</v>
      </c>
      <c r="D182" s="5">
        <v>41982</v>
      </c>
      <c r="E182" t="s">
        <v>109</v>
      </c>
      <c r="F182" t="s">
        <v>605</v>
      </c>
      <c r="G182" t="s">
        <v>606</v>
      </c>
      <c r="H182" t="s">
        <v>125</v>
      </c>
      <c r="I182" t="s">
        <v>113</v>
      </c>
      <c r="J182" t="s">
        <v>50</v>
      </c>
      <c r="K182" t="s">
        <v>247</v>
      </c>
      <c r="L182">
        <v>62521</v>
      </c>
      <c r="M182" t="s">
        <v>174</v>
      </c>
      <c r="N182" t="s">
        <v>607</v>
      </c>
      <c r="O182" t="s">
        <v>117</v>
      </c>
      <c r="P182" t="s">
        <v>35</v>
      </c>
      <c r="Q182" t="s">
        <v>118</v>
      </c>
      <c r="R182">
        <v>24.815999999999999</v>
      </c>
      <c r="S182">
        <v>2</v>
      </c>
      <c r="T182" s="11">
        <f t="shared" si="6"/>
        <v>0</v>
      </c>
      <c r="U182" s="6">
        <v>14.889599999999998</v>
      </c>
      <c r="V182" s="11">
        <f t="shared" si="7"/>
        <v>0</v>
      </c>
      <c r="W182" s="9">
        <f t="shared" si="8"/>
        <v>0.6</v>
      </c>
    </row>
    <row r="183" spans="1:23" hidden="1">
      <c r="A183">
        <v>182</v>
      </c>
      <c r="B183" t="s">
        <v>604</v>
      </c>
      <c r="C183" s="5">
        <v>41978</v>
      </c>
      <c r="D183" s="5">
        <v>41982</v>
      </c>
      <c r="E183" t="s">
        <v>109</v>
      </c>
      <c r="F183" t="s">
        <v>605</v>
      </c>
      <c r="G183" t="s">
        <v>606</v>
      </c>
      <c r="H183" t="s">
        <v>125</v>
      </c>
      <c r="I183" t="s">
        <v>113</v>
      </c>
      <c r="J183" t="s">
        <v>50</v>
      </c>
      <c r="K183" t="s">
        <v>247</v>
      </c>
      <c r="L183">
        <v>62521</v>
      </c>
      <c r="M183" t="s">
        <v>174</v>
      </c>
      <c r="N183" t="s">
        <v>608</v>
      </c>
      <c r="O183" t="s">
        <v>117</v>
      </c>
      <c r="P183" t="s">
        <v>120</v>
      </c>
      <c r="Q183" t="s">
        <v>121</v>
      </c>
      <c r="R183">
        <v>408.74400000000003</v>
      </c>
      <c r="S183">
        <v>7</v>
      </c>
      <c r="T183" s="11">
        <f t="shared" si="6"/>
        <v>0.05</v>
      </c>
      <c r="U183" s="6">
        <v>858.36239999999998</v>
      </c>
      <c r="V183" s="11">
        <f t="shared" si="7"/>
        <v>20.437200000000004</v>
      </c>
      <c r="W183" s="9">
        <f t="shared" si="8"/>
        <v>2.0999999999999996</v>
      </c>
    </row>
    <row r="184" spans="1:23" hidden="1">
      <c r="A184">
        <v>183</v>
      </c>
      <c r="B184" t="s">
        <v>609</v>
      </c>
      <c r="C184" s="5">
        <v>41962</v>
      </c>
      <c r="D184" s="5">
        <v>41967</v>
      </c>
      <c r="E184" t="s">
        <v>109</v>
      </c>
      <c r="F184" t="s">
        <v>610</v>
      </c>
      <c r="G184" t="s">
        <v>611</v>
      </c>
      <c r="H184" t="s">
        <v>173</v>
      </c>
      <c r="I184" t="s">
        <v>113</v>
      </c>
      <c r="J184" t="s">
        <v>67</v>
      </c>
      <c r="K184" t="s">
        <v>612</v>
      </c>
      <c r="L184">
        <v>71203</v>
      </c>
      <c r="M184" t="s">
        <v>115</v>
      </c>
      <c r="N184" t="s">
        <v>613</v>
      </c>
      <c r="O184" t="s">
        <v>117</v>
      </c>
      <c r="P184" t="s">
        <v>129</v>
      </c>
      <c r="Q184" t="s">
        <v>130</v>
      </c>
      <c r="R184">
        <v>503.96</v>
      </c>
      <c r="S184">
        <v>4</v>
      </c>
      <c r="T184" s="11">
        <f t="shared" si="6"/>
        <v>0</v>
      </c>
      <c r="U184" s="6">
        <v>604.75199999999995</v>
      </c>
      <c r="V184" s="11">
        <f t="shared" si="7"/>
        <v>0</v>
      </c>
      <c r="W184" s="9">
        <f t="shared" si="8"/>
        <v>1.2</v>
      </c>
    </row>
    <row r="185" spans="1:23" hidden="1">
      <c r="A185">
        <v>184</v>
      </c>
      <c r="B185" t="s">
        <v>609</v>
      </c>
      <c r="C185" s="5">
        <v>41962</v>
      </c>
      <c r="D185" s="5">
        <v>41967</v>
      </c>
      <c r="E185" t="s">
        <v>109</v>
      </c>
      <c r="F185" t="s">
        <v>610</v>
      </c>
      <c r="G185" t="s">
        <v>611</v>
      </c>
      <c r="H185" t="s">
        <v>173</v>
      </c>
      <c r="I185" t="s">
        <v>113</v>
      </c>
      <c r="J185" t="s">
        <v>67</v>
      </c>
      <c r="K185" t="s">
        <v>612</v>
      </c>
      <c r="L185">
        <v>71203</v>
      </c>
      <c r="M185" t="s">
        <v>115</v>
      </c>
      <c r="N185" t="s">
        <v>614</v>
      </c>
      <c r="O185" t="s">
        <v>117</v>
      </c>
      <c r="P185" t="s">
        <v>35</v>
      </c>
      <c r="Q185" t="s">
        <v>136</v>
      </c>
      <c r="R185">
        <v>149.94999999999999</v>
      </c>
      <c r="S185">
        <v>5</v>
      </c>
      <c r="T185" s="11">
        <f t="shared" si="6"/>
        <v>0.05</v>
      </c>
      <c r="U185" s="6">
        <v>224.92499999999998</v>
      </c>
      <c r="V185" s="11">
        <f t="shared" si="7"/>
        <v>7.4974999999999996</v>
      </c>
      <c r="W185" s="9">
        <f t="shared" si="8"/>
        <v>1.5</v>
      </c>
    </row>
    <row r="186" spans="1:23" hidden="1">
      <c r="A186">
        <v>185</v>
      </c>
      <c r="B186" t="s">
        <v>609</v>
      </c>
      <c r="C186" s="5">
        <v>41962</v>
      </c>
      <c r="D186" s="5">
        <v>41967</v>
      </c>
      <c r="E186" t="s">
        <v>109</v>
      </c>
      <c r="F186" t="s">
        <v>610</v>
      </c>
      <c r="G186" t="s">
        <v>611</v>
      </c>
      <c r="H186" t="s">
        <v>173</v>
      </c>
      <c r="I186" t="s">
        <v>113</v>
      </c>
      <c r="J186" t="s">
        <v>67</v>
      </c>
      <c r="K186" t="s">
        <v>612</v>
      </c>
      <c r="L186">
        <v>71203</v>
      </c>
      <c r="M186" t="s">
        <v>115</v>
      </c>
      <c r="N186" t="s">
        <v>615</v>
      </c>
      <c r="O186" t="s">
        <v>117</v>
      </c>
      <c r="P186" t="s">
        <v>138</v>
      </c>
      <c r="Q186" t="s">
        <v>139</v>
      </c>
      <c r="R186">
        <v>29</v>
      </c>
      <c r="S186">
        <v>2</v>
      </c>
      <c r="T186" s="11">
        <f t="shared" si="6"/>
        <v>0</v>
      </c>
      <c r="U186" s="6">
        <v>17.399999999999999</v>
      </c>
      <c r="V186" s="11">
        <f t="shared" si="7"/>
        <v>0</v>
      </c>
      <c r="W186" s="9">
        <f t="shared" si="8"/>
        <v>0.6</v>
      </c>
    </row>
    <row r="187" spans="1:23" hidden="1">
      <c r="A187">
        <v>186</v>
      </c>
      <c r="B187" t="s">
        <v>616</v>
      </c>
      <c r="C187" s="5">
        <v>42702</v>
      </c>
      <c r="D187" s="5">
        <v>42706</v>
      </c>
      <c r="E187" t="s">
        <v>132</v>
      </c>
      <c r="F187" t="s">
        <v>617</v>
      </c>
      <c r="G187" t="s">
        <v>618</v>
      </c>
      <c r="H187" t="s">
        <v>112</v>
      </c>
      <c r="I187" t="s">
        <v>113</v>
      </c>
      <c r="J187" t="s">
        <v>619</v>
      </c>
      <c r="K187" t="s">
        <v>620</v>
      </c>
      <c r="L187">
        <v>6824</v>
      </c>
      <c r="M187" t="s">
        <v>206</v>
      </c>
      <c r="N187" t="s">
        <v>621</v>
      </c>
      <c r="O187" t="s">
        <v>117</v>
      </c>
      <c r="P187" t="s">
        <v>144</v>
      </c>
      <c r="Q187" t="s">
        <v>145</v>
      </c>
      <c r="R187">
        <v>7.16</v>
      </c>
      <c r="S187">
        <v>2</v>
      </c>
      <c r="T187" s="11">
        <f t="shared" si="6"/>
        <v>0</v>
      </c>
      <c r="U187" s="6">
        <v>4.2960000000000003</v>
      </c>
      <c r="V187" s="11">
        <f t="shared" si="7"/>
        <v>0</v>
      </c>
      <c r="W187" s="9">
        <f t="shared" si="8"/>
        <v>0.6</v>
      </c>
    </row>
    <row r="188" spans="1:23">
      <c r="A188">
        <v>187</v>
      </c>
      <c r="B188" t="s">
        <v>622</v>
      </c>
      <c r="C188" s="5">
        <v>41877</v>
      </c>
      <c r="D188" s="5">
        <v>41881</v>
      </c>
      <c r="E188" t="s">
        <v>132</v>
      </c>
      <c r="F188" t="s">
        <v>623</v>
      </c>
      <c r="G188" t="s">
        <v>624</v>
      </c>
      <c r="H188" t="s">
        <v>173</v>
      </c>
      <c r="I188" t="s">
        <v>113</v>
      </c>
      <c r="J188" t="s">
        <v>63</v>
      </c>
      <c r="K188" t="s">
        <v>126</v>
      </c>
      <c r="L188">
        <v>90032</v>
      </c>
      <c r="M188" t="s">
        <v>127</v>
      </c>
      <c r="N188" t="s">
        <v>625</v>
      </c>
      <c r="O188" t="s">
        <v>117</v>
      </c>
      <c r="P188" t="s">
        <v>35</v>
      </c>
      <c r="Q188" t="s">
        <v>147</v>
      </c>
      <c r="R188" s="9">
        <v>176.8</v>
      </c>
      <c r="S188">
        <v>8</v>
      </c>
      <c r="T188" s="11">
        <f t="shared" si="6"/>
        <v>0.05</v>
      </c>
      <c r="U188" s="9">
        <v>424.32</v>
      </c>
      <c r="V188" s="9">
        <f t="shared" si="7"/>
        <v>8.8400000000000016</v>
      </c>
      <c r="W188" s="9">
        <f t="shared" si="8"/>
        <v>2.4</v>
      </c>
    </row>
    <row r="189" spans="1:23" hidden="1">
      <c r="A189">
        <v>188</v>
      </c>
      <c r="B189" t="s">
        <v>626</v>
      </c>
      <c r="C189" s="5">
        <v>42567</v>
      </c>
      <c r="D189" s="5">
        <v>42573</v>
      </c>
      <c r="E189" t="s">
        <v>132</v>
      </c>
      <c r="F189" t="s">
        <v>627</v>
      </c>
      <c r="G189" t="s">
        <v>628</v>
      </c>
      <c r="H189" t="s">
        <v>125</v>
      </c>
      <c r="I189" t="s">
        <v>113</v>
      </c>
      <c r="J189" t="s">
        <v>58</v>
      </c>
      <c r="K189" t="s">
        <v>1</v>
      </c>
      <c r="L189">
        <v>75051</v>
      </c>
      <c r="M189" t="s">
        <v>174</v>
      </c>
      <c r="N189" t="s">
        <v>629</v>
      </c>
      <c r="O189" t="s">
        <v>117</v>
      </c>
      <c r="P189" t="s">
        <v>35</v>
      </c>
      <c r="Q189" t="s">
        <v>149</v>
      </c>
      <c r="R189">
        <v>37.223999999999997</v>
      </c>
      <c r="S189">
        <v>3</v>
      </c>
      <c r="T189" s="11">
        <f t="shared" si="6"/>
        <v>0</v>
      </c>
      <c r="U189" s="6">
        <v>33.501599999999996</v>
      </c>
      <c r="V189" s="11">
        <f t="shared" si="7"/>
        <v>0</v>
      </c>
      <c r="W189" s="9">
        <f t="shared" si="8"/>
        <v>0.9</v>
      </c>
    </row>
    <row r="190" spans="1:23" hidden="1">
      <c r="A190">
        <v>189</v>
      </c>
      <c r="B190" t="s">
        <v>626</v>
      </c>
      <c r="C190" s="5">
        <v>42567</v>
      </c>
      <c r="D190" s="5">
        <v>42573</v>
      </c>
      <c r="E190" t="s">
        <v>132</v>
      </c>
      <c r="F190" t="s">
        <v>627</v>
      </c>
      <c r="G190" t="s">
        <v>628</v>
      </c>
      <c r="H190" t="s">
        <v>125</v>
      </c>
      <c r="I190" t="s">
        <v>113</v>
      </c>
      <c r="J190" t="s">
        <v>58</v>
      </c>
      <c r="K190" t="s">
        <v>1</v>
      </c>
      <c r="L190">
        <v>75051</v>
      </c>
      <c r="M190" t="s">
        <v>174</v>
      </c>
      <c r="N190" t="s">
        <v>539</v>
      </c>
      <c r="O190" t="s">
        <v>117</v>
      </c>
      <c r="P190" t="s">
        <v>129</v>
      </c>
      <c r="Q190" t="s">
        <v>151</v>
      </c>
      <c r="R190">
        <v>20.015999999999998</v>
      </c>
      <c r="S190">
        <v>3</v>
      </c>
      <c r="T190" s="11">
        <f t="shared" si="6"/>
        <v>0</v>
      </c>
      <c r="U190" s="6">
        <v>18.014399999999998</v>
      </c>
      <c r="V190" s="11">
        <f t="shared" si="7"/>
        <v>0</v>
      </c>
      <c r="W190" s="9">
        <f t="shared" si="8"/>
        <v>0.9</v>
      </c>
    </row>
    <row r="191" spans="1:23" hidden="1">
      <c r="A191">
        <v>190</v>
      </c>
      <c r="B191" t="s">
        <v>630</v>
      </c>
      <c r="C191" s="5">
        <v>42289</v>
      </c>
      <c r="D191" s="5">
        <v>42291</v>
      </c>
      <c r="E191" t="s">
        <v>231</v>
      </c>
      <c r="F191" t="s">
        <v>631</v>
      </c>
      <c r="G191" t="s">
        <v>632</v>
      </c>
      <c r="H191" t="s">
        <v>173</v>
      </c>
      <c r="I191" t="s">
        <v>113</v>
      </c>
      <c r="J191" t="s">
        <v>69</v>
      </c>
      <c r="K191" t="s">
        <v>287</v>
      </c>
      <c r="L191">
        <v>10035</v>
      </c>
      <c r="M191" t="s">
        <v>206</v>
      </c>
      <c r="N191" t="s">
        <v>633</v>
      </c>
      <c r="O191" t="s">
        <v>117</v>
      </c>
      <c r="P191" t="s">
        <v>153</v>
      </c>
      <c r="Q191" t="s">
        <v>154</v>
      </c>
      <c r="R191">
        <v>899.13600000000008</v>
      </c>
      <c r="S191">
        <v>4</v>
      </c>
      <c r="T191" s="11">
        <f t="shared" si="6"/>
        <v>0</v>
      </c>
      <c r="U191" s="6">
        <v>1078.9632000000001</v>
      </c>
      <c r="V191" s="11">
        <f t="shared" si="7"/>
        <v>0</v>
      </c>
      <c r="W191" s="9">
        <f t="shared" si="8"/>
        <v>1.2</v>
      </c>
    </row>
    <row r="192" spans="1:23" hidden="1">
      <c r="A192">
        <v>191</v>
      </c>
      <c r="B192" t="s">
        <v>630</v>
      </c>
      <c r="C192" s="5">
        <v>42289</v>
      </c>
      <c r="D192" s="5">
        <v>42291</v>
      </c>
      <c r="E192" t="s">
        <v>231</v>
      </c>
      <c r="F192" t="s">
        <v>631</v>
      </c>
      <c r="G192" t="s">
        <v>632</v>
      </c>
      <c r="H192" t="s">
        <v>173</v>
      </c>
      <c r="I192" t="s">
        <v>113</v>
      </c>
      <c r="J192" t="s">
        <v>69</v>
      </c>
      <c r="K192" t="s">
        <v>287</v>
      </c>
      <c r="L192">
        <v>10035</v>
      </c>
      <c r="M192" t="s">
        <v>206</v>
      </c>
      <c r="N192" t="s">
        <v>634</v>
      </c>
      <c r="O192" t="s">
        <v>117</v>
      </c>
      <c r="P192" t="s">
        <v>144</v>
      </c>
      <c r="Q192" t="s">
        <v>156</v>
      </c>
      <c r="R192">
        <v>71.760000000000005</v>
      </c>
      <c r="S192">
        <v>6</v>
      </c>
      <c r="T192" s="11">
        <f t="shared" si="6"/>
        <v>0.05</v>
      </c>
      <c r="U192" s="6">
        <v>129.16800000000001</v>
      </c>
      <c r="V192" s="11">
        <f t="shared" si="7"/>
        <v>3.5880000000000005</v>
      </c>
      <c r="W192" s="9">
        <f t="shared" si="8"/>
        <v>1.8</v>
      </c>
    </row>
    <row r="193" spans="1:23" hidden="1">
      <c r="A193">
        <v>192</v>
      </c>
      <c r="B193" t="s">
        <v>630</v>
      </c>
      <c r="C193" s="5">
        <v>42289</v>
      </c>
      <c r="D193" s="5">
        <v>42291</v>
      </c>
      <c r="E193" t="s">
        <v>231</v>
      </c>
      <c r="F193" t="s">
        <v>631</v>
      </c>
      <c r="G193" t="s">
        <v>632</v>
      </c>
      <c r="H193" t="s">
        <v>173</v>
      </c>
      <c r="I193" t="s">
        <v>113</v>
      </c>
      <c r="J193" t="s">
        <v>69</v>
      </c>
      <c r="K193" t="s">
        <v>287</v>
      </c>
      <c r="L193">
        <v>10035</v>
      </c>
      <c r="M193" t="s">
        <v>206</v>
      </c>
      <c r="N193" t="s">
        <v>635</v>
      </c>
      <c r="O193" t="s">
        <v>117</v>
      </c>
      <c r="P193" t="s">
        <v>158</v>
      </c>
      <c r="Q193" t="s">
        <v>159</v>
      </c>
      <c r="R193">
        <v>51.84</v>
      </c>
      <c r="S193">
        <v>8</v>
      </c>
      <c r="T193" s="11">
        <f t="shared" si="6"/>
        <v>0.05</v>
      </c>
      <c r="U193" s="6">
        <v>124.416</v>
      </c>
      <c r="V193" s="11">
        <f t="shared" si="7"/>
        <v>2.5920000000000005</v>
      </c>
      <c r="W193" s="9">
        <f t="shared" si="8"/>
        <v>2.4</v>
      </c>
    </row>
    <row r="194" spans="1:23" hidden="1">
      <c r="A194">
        <v>193</v>
      </c>
      <c r="B194" t="s">
        <v>630</v>
      </c>
      <c r="C194" s="5">
        <v>42289</v>
      </c>
      <c r="D194" s="5">
        <v>42291</v>
      </c>
      <c r="E194" t="s">
        <v>231</v>
      </c>
      <c r="F194" t="s">
        <v>631</v>
      </c>
      <c r="G194" t="s">
        <v>632</v>
      </c>
      <c r="H194" t="s">
        <v>173</v>
      </c>
      <c r="I194" t="s">
        <v>113</v>
      </c>
      <c r="J194" t="s">
        <v>69</v>
      </c>
      <c r="K194" t="s">
        <v>287</v>
      </c>
      <c r="L194">
        <v>10035</v>
      </c>
      <c r="M194" t="s">
        <v>206</v>
      </c>
      <c r="N194" t="s">
        <v>240</v>
      </c>
      <c r="O194" t="s">
        <v>117</v>
      </c>
      <c r="P194" t="s">
        <v>35</v>
      </c>
      <c r="Q194" t="s">
        <v>118</v>
      </c>
      <c r="R194">
        <v>626.35200000000009</v>
      </c>
      <c r="S194">
        <v>3</v>
      </c>
      <c r="T194" s="11">
        <f t="shared" ref="T194:T257" si="9">IFERROR(IF(S194&gt;=5,VLOOKUP(S194,$X$311:$Y$313,2,TRUE),0),0)</f>
        <v>0</v>
      </c>
      <c r="U194" s="6">
        <v>563.71680000000003</v>
      </c>
      <c r="V194" s="11">
        <f t="shared" ref="V194:V257" si="10">R194*T194</f>
        <v>0</v>
      </c>
      <c r="W194" s="9">
        <f t="shared" ref="W194:W257" si="11">U194/R194</f>
        <v>0.89999999999999991</v>
      </c>
    </row>
    <row r="195" spans="1:23" hidden="1">
      <c r="A195">
        <v>194</v>
      </c>
      <c r="B195" t="s">
        <v>630</v>
      </c>
      <c r="C195" s="5">
        <v>42289</v>
      </c>
      <c r="D195" s="5">
        <v>42291</v>
      </c>
      <c r="E195" t="s">
        <v>231</v>
      </c>
      <c r="F195" t="s">
        <v>631</v>
      </c>
      <c r="G195" t="s">
        <v>632</v>
      </c>
      <c r="H195" t="s">
        <v>173</v>
      </c>
      <c r="I195" t="s">
        <v>113</v>
      </c>
      <c r="J195" t="s">
        <v>69</v>
      </c>
      <c r="K195" t="s">
        <v>287</v>
      </c>
      <c r="L195">
        <v>10035</v>
      </c>
      <c r="M195" t="s">
        <v>206</v>
      </c>
      <c r="N195" t="s">
        <v>636</v>
      </c>
      <c r="O195" t="s">
        <v>117</v>
      </c>
      <c r="P195" t="s">
        <v>120</v>
      </c>
      <c r="Q195" t="s">
        <v>121</v>
      </c>
      <c r="R195">
        <v>19.899999999999999</v>
      </c>
      <c r="S195">
        <v>5</v>
      </c>
      <c r="T195" s="11">
        <f t="shared" si="9"/>
        <v>0.05</v>
      </c>
      <c r="U195" s="6">
        <v>29.849999999999998</v>
      </c>
      <c r="V195" s="11">
        <f t="shared" si="10"/>
        <v>0.995</v>
      </c>
      <c r="W195" s="9">
        <f t="shared" si="11"/>
        <v>1.5</v>
      </c>
    </row>
    <row r="196" spans="1:23" hidden="1">
      <c r="A196">
        <v>195</v>
      </c>
      <c r="B196" t="s">
        <v>637</v>
      </c>
      <c r="C196" s="5">
        <v>42308</v>
      </c>
      <c r="D196" s="5">
        <v>42314</v>
      </c>
      <c r="E196" t="s">
        <v>132</v>
      </c>
      <c r="F196" t="s">
        <v>638</v>
      </c>
      <c r="G196" t="s">
        <v>639</v>
      </c>
      <c r="H196" t="s">
        <v>125</v>
      </c>
      <c r="I196" t="s">
        <v>113</v>
      </c>
      <c r="J196" t="s">
        <v>640</v>
      </c>
      <c r="K196" t="s">
        <v>126</v>
      </c>
      <c r="L196">
        <v>92374</v>
      </c>
      <c r="M196" t="s">
        <v>127</v>
      </c>
      <c r="N196" t="s">
        <v>222</v>
      </c>
      <c r="O196" t="s">
        <v>117</v>
      </c>
      <c r="P196" t="s">
        <v>129</v>
      </c>
      <c r="Q196" t="s">
        <v>130</v>
      </c>
      <c r="R196">
        <v>14.28</v>
      </c>
      <c r="S196">
        <v>7</v>
      </c>
      <c r="T196" s="11">
        <f t="shared" si="9"/>
        <v>0.05</v>
      </c>
      <c r="U196" s="6">
        <v>29.987999999999996</v>
      </c>
      <c r="V196" s="11">
        <f t="shared" si="10"/>
        <v>0.71399999999999997</v>
      </c>
      <c r="W196" s="9">
        <f t="shared" si="11"/>
        <v>2.0999999999999996</v>
      </c>
    </row>
    <row r="197" spans="1:23" hidden="1">
      <c r="A197">
        <v>196</v>
      </c>
      <c r="B197" t="s">
        <v>641</v>
      </c>
      <c r="C197" s="5">
        <v>41719</v>
      </c>
      <c r="D197" s="5">
        <v>41723</v>
      </c>
      <c r="E197" t="s">
        <v>132</v>
      </c>
      <c r="F197" t="s">
        <v>642</v>
      </c>
      <c r="G197" t="s">
        <v>643</v>
      </c>
      <c r="H197" t="s">
        <v>112</v>
      </c>
      <c r="I197" t="s">
        <v>113</v>
      </c>
      <c r="J197" t="s">
        <v>59</v>
      </c>
      <c r="K197" t="s">
        <v>447</v>
      </c>
      <c r="L197">
        <v>45011</v>
      </c>
      <c r="M197" t="s">
        <v>206</v>
      </c>
      <c r="N197" t="s">
        <v>644</v>
      </c>
      <c r="O197" t="s">
        <v>117</v>
      </c>
      <c r="P197" t="s">
        <v>35</v>
      </c>
      <c r="Q197" t="s">
        <v>136</v>
      </c>
      <c r="R197">
        <v>7.4080000000000004</v>
      </c>
      <c r="S197">
        <v>2</v>
      </c>
      <c r="T197" s="11">
        <f t="shared" si="9"/>
        <v>0</v>
      </c>
      <c r="U197" s="6">
        <v>4.4447999999999999</v>
      </c>
      <c r="V197" s="11">
        <f t="shared" si="10"/>
        <v>0</v>
      </c>
      <c r="W197" s="9">
        <f t="shared" si="11"/>
        <v>0.6</v>
      </c>
    </row>
    <row r="198" spans="1:23" hidden="1">
      <c r="A198">
        <v>197</v>
      </c>
      <c r="B198" t="s">
        <v>641</v>
      </c>
      <c r="C198" s="5">
        <v>41719</v>
      </c>
      <c r="D198" s="5">
        <v>41723</v>
      </c>
      <c r="E198" t="s">
        <v>132</v>
      </c>
      <c r="F198" t="s">
        <v>642</v>
      </c>
      <c r="G198" t="s">
        <v>643</v>
      </c>
      <c r="H198" t="s">
        <v>112</v>
      </c>
      <c r="I198" t="s">
        <v>113</v>
      </c>
      <c r="J198" t="s">
        <v>59</v>
      </c>
      <c r="K198" t="s">
        <v>447</v>
      </c>
      <c r="L198">
        <v>45011</v>
      </c>
      <c r="M198" t="s">
        <v>206</v>
      </c>
      <c r="N198" t="s">
        <v>645</v>
      </c>
      <c r="O198" t="s">
        <v>117</v>
      </c>
      <c r="P198" t="s">
        <v>138</v>
      </c>
      <c r="Q198" t="s">
        <v>139</v>
      </c>
      <c r="R198">
        <v>6.048</v>
      </c>
      <c r="S198">
        <v>3</v>
      </c>
      <c r="T198" s="11">
        <f t="shared" si="9"/>
        <v>0</v>
      </c>
      <c r="U198" s="6">
        <v>5.4431999999999992</v>
      </c>
      <c r="V198" s="11">
        <f t="shared" si="10"/>
        <v>0</v>
      </c>
      <c r="W198" s="9">
        <f t="shared" si="11"/>
        <v>0.8999999999999998</v>
      </c>
    </row>
    <row r="199" spans="1:23" hidden="1">
      <c r="A199">
        <v>198</v>
      </c>
      <c r="B199" t="s">
        <v>646</v>
      </c>
      <c r="C199" s="5">
        <v>43045</v>
      </c>
      <c r="D199" s="5">
        <v>43052</v>
      </c>
      <c r="E199" t="s">
        <v>132</v>
      </c>
      <c r="F199" t="s">
        <v>647</v>
      </c>
      <c r="G199" t="s">
        <v>648</v>
      </c>
      <c r="H199" t="s">
        <v>173</v>
      </c>
      <c r="I199" t="s">
        <v>113</v>
      </c>
      <c r="J199" t="s">
        <v>649</v>
      </c>
      <c r="K199" t="s">
        <v>650</v>
      </c>
      <c r="L199">
        <v>7090</v>
      </c>
      <c r="M199" t="s">
        <v>206</v>
      </c>
      <c r="N199" t="s">
        <v>651</v>
      </c>
      <c r="O199" t="s">
        <v>117</v>
      </c>
      <c r="P199" t="s">
        <v>144</v>
      </c>
      <c r="Q199" t="s">
        <v>145</v>
      </c>
      <c r="R199">
        <v>46.26</v>
      </c>
      <c r="S199">
        <v>3</v>
      </c>
      <c r="T199" s="11">
        <f t="shared" si="9"/>
        <v>0</v>
      </c>
      <c r="U199" s="6">
        <v>41.634</v>
      </c>
      <c r="V199" s="11">
        <f t="shared" si="10"/>
        <v>0</v>
      </c>
      <c r="W199" s="9">
        <f t="shared" si="11"/>
        <v>0.9</v>
      </c>
    </row>
    <row r="200" spans="1:23" hidden="1">
      <c r="A200">
        <v>199</v>
      </c>
      <c r="B200" t="s">
        <v>652</v>
      </c>
      <c r="C200" s="5">
        <v>42922</v>
      </c>
      <c r="D200" s="5">
        <v>42929</v>
      </c>
      <c r="E200" t="s">
        <v>132</v>
      </c>
      <c r="F200" t="s">
        <v>653</v>
      </c>
      <c r="G200" t="s">
        <v>654</v>
      </c>
      <c r="H200" t="s">
        <v>125</v>
      </c>
      <c r="I200" t="s">
        <v>113</v>
      </c>
      <c r="J200" t="s">
        <v>71</v>
      </c>
      <c r="K200" t="s">
        <v>205</v>
      </c>
      <c r="L200">
        <v>19120</v>
      </c>
      <c r="M200" t="s">
        <v>206</v>
      </c>
      <c r="N200" t="s">
        <v>655</v>
      </c>
      <c r="O200" t="s">
        <v>117</v>
      </c>
      <c r="P200" t="s">
        <v>35</v>
      </c>
      <c r="Q200" t="s">
        <v>147</v>
      </c>
      <c r="R200">
        <v>2.9460000000000011</v>
      </c>
      <c r="S200">
        <v>2</v>
      </c>
      <c r="T200" s="11">
        <f t="shared" si="9"/>
        <v>0</v>
      </c>
      <c r="U200" s="6">
        <v>1.7676000000000005</v>
      </c>
      <c r="V200" s="11">
        <f t="shared" si="10"/>
        <v>0</v>
      </c>
      <c r="W200" s="9">
        <f t="shared" si="11"/>
        <v>0.6</v>
      </c>
    </row>
    <row r="201" spans="1:23" hidden="1">
      <c r="A201">
        <v>200</v>
      </c>
      <c r="B201" t="s">
        <v>652</v>
      </c>
      <c r="C201" s="5">
        <v>42922</v>
      </c>
      <c r="D201" s="5">
        <v>42929</v>
      </c>
      <c r="E201" t="s">
        <v>132</v>
      </c>
      <c r="F201" t="s">
        <v>653</v>
      </c>
      <c r="G201" t="s">
        <v>654</v>
      </c>
      <c r="H201" t="s">
        <v>125</v>
      </c>
      <c r="I201" t="s">
        <v>113</v>
      </c>
      <c r="J201" t="s">
        <v>71</v>
      </c>
      <c r="K201" t="s">
        <v>205</v>
      </c>
      <c r="L201">
        <v>19120</v>
      </c>
      <c r="M201" t="s">
        <v>206</v>
      </c>
      <c r="N201" t="s">
        <v>656</v>
      </c>
      <c r="O201" t="s">
        <v>117</v>
      </c>
      <c r="P201" t="s">
        <v>35</v>
      </c>
      <c r="Q201" t="s">
        <v>149</v>
      </c>
      <c r="R201">
        <v>16.056000000000001</v>
      </c>
      <c r="S201">
        <v>3</v>
      </c>
      <c r="T201" s="11">
        <f t="shared" si="9"/>
        <v>0</v>
      </c>
      <c r="U201" s="6">
        <v>14.450400000000002</v>
      </c>
      <c r="V201" s="11">
        <f t="shared" si="10"/>
        <v>0</v>
      </c>
      <c r="W201" s="9">
        <f t="shared" si="11"/>
        <v>0.9</v>
      </c>
    </row>
    <row r="202" spans="1:23" hidden="1">
      <c r="A202">
        <v>201</v>
      </c>
      <c r="B202" t="s">
        <v>657</v>
      </c>
      <c r="C202" s="5">
        <v>42910</v>
      </c>
      <c r="D202" s="5">
        <v>42915</v>
      </c>
      <c r="E202" t="s">
        <v>132</v>
      </c>
      <c r="F202" t="s">
        <v>658</v>
      </c>
      <c r="G202" t="s">
        <v>659</v>
      </c>
      <c r="H202" t="s">
        <v>112</v>
      </c>
      <c r="I202" t="s">
        <v>113</v>
      </c>
      <c r="J202" t="s">
        <v>660</v>
      </c>
      <c r="K202" t="s">
        <v>447</v>
      </c>
      <c r="L202">
        <v>44312</v>
      </c>
      <c r="M202" t="s">
        <v>206</v>
      </c>
      <c r="N202" t="s">
        <v>661</v>
      </c>
      <c r="O202" t="s">
        <v>117</v>
      </c>
      <c r="P202" t="s">
        <v>129</v>
      </c>
      <c r="Q202" t="s">
        <v>151</v>
      </c>
      <c r="R202">
        <v>21.744</v>
      </c>
      <c r="S202">
        <v>3</v>
      </c>
      <c r="T202" s="11">
        <f t="shared" si="9"/>
        <v>0</v>
      </c>
      <c r="U202" s="6">
        <v>19.569599999999998</v>
      </c>
      <c r="V202" s="11">
        <f t="shared" si="10"/>
        <v>0</v>
      </c>
      <c r="W202" s="9">
        <f t="shared" si="11"/>
        <v>0.89999999999999991</v>
      </c>
    </row>
    <row r="203" spans="1:23" hidden="1">
      <c r="A203">
        <v>202</v>
      </c>
      <c r="B203" t="s">
        <v>662</v>
      </c>
      <c r="C203" s="5">
        <v>41854</v>
      </c>
      <c r="D203" s="5">
        <v>41856</v>
      </c>
      <c r="E203" t="s">
        <v>231</v>
      </c>
      <c r="F203" t="s">
        <v>663</v>
      </c>
      <c r="G203" t="s">
        <v>664</v>
      </c>
      <c r="H203" t="s">
        <v>112</v>
      </c>
      <c r="I203" t="s">
        <v>113</v>
      </c>
      <c r="J203" t="s">
        <v>665</v>
      </c>
      <c r="K203" t="s">
        <v>419</v>
      </c>
      <c r="L203">
        <v>80219</v>
      </c>
      <c r="M203" t="s">
        <v>127</v>
      </c>
      <c r="N203" t="s">
        <v>666</v>
      </c>
      <c r="O203" t="s">
        <v>117</v>
      </c>
      <c r="P203" t="s">
        <v>153</v>
      </c>
      <c r="Q203" t="s">
        <v>154</v>
      </c>
      <c r="R203">
        <v>218.75</v>
      </c>
      <c r="S203">
        <v>2</v>
      </c>
      <c r="T203" s="11">
        <f t="shared" si="9"/>
        <v>0</v>
      </c>
      <c r="U203" s="6">
        <v>131.25</v>
      </c>
      <c r="V203" s="11">
        <f t="shared" si="10"/>
        <v>0</v>
      </c>
      <c r="W203" s="9">
        <f t="shared" si="11"/>
        <v>0.6</v>
      </c>
    </row>
    <row r="204" spans="1:23" hidden="1">
      <c r="A204">
        <v>203</v>
      </c>
      <c r="B204" t="s">
        <v>662</v>
      </c>
      <c r="C204" s="5">
        <v>41854</v>
      </c>
      <c r="D204" s="5">
        <v>41856</v>
      </c>
      <c r="E204" t="s">
        <v>231</v>
      </c>
      <c r="F204" t="s">
        <v>663</v>
      </c>
      <c r="G204" t="s">
        <v>664</v>
      </c>
      <c r="H204" t="s">
        <v>112</v>
      </c>
      <c r="I204" t="s">
        <v>113</v>
      </c>
      <c r="J204" t="s">
        <v>665</v>
      </c>
      <c r="K204" t="s">
        <v>419</v>
      </c>
      <c r="L204">
        <v>80219</v>
      </c>
      <c r="M204" t="s">
        <v>127</v>
      </c>
      <c r="N204" t="s">
        <v>667</v>
      </c>
      <c r="O204" t="s">
        <v>117</v>
      </c>
      <c r="P204" t="s">
        <v>144</v>
      </c>
      <c r="Q204" t="s">
        <v>156</v>
      </c>
      <c r="R204">
        <v>2.6</v>
      </c>
      <c r="S204">
        <v>1</v>
      </c>
      <c r="T204" s="11">
        <f t="shared" si="9"/>
        <v>0</v>
      </c>
      <c r="U204" s="6">
        <v>0.78</v>
      </c>
      <c r="V204" s="11">
        <f t="shared" si="10"/>
        <v>0</v>
      </c>
      <c r="W204" s="9">
        <f t="shared" si="11"/>
        <v>0.3</v>
      </c>
    </row>
    <row r="205" spans="1:23" hidden="1">
      <c r="A205">
        <v>204</v>
      </c>
      <c r="B205" t="s">
        <v>668</v>
      </c>
      <c r="C205" s="5">
        <v>43086</v>
      </c>
      <c r="D205" s="5">
        <v>43090</v>
      </c>
      <c r="E205" t="s">
        <v>109</v>
      </c>
      <c r="F205" t="s">
        <v>669</v>
      </c>
      <c r="G205" t="s">
        <v>670</v>
      </c>
      <c r="H205" t="s">
        <v>112</v>
      </c>
      <c r="I205" t="s">
        <v>113</v>
      </c>
      <c r="J205" t="s">
        <v>49</v>
      </c>
      <c r="K205" t="s">
        <v>1</v>
      </c>
      <c r="L205">
        <v>75220</v>
      </c>
      <c r="M205" t="s">
        <v>174</v>
      </c>
      <c r="N205" t="s">
        <v>671</v>
      </c>
      <c r="O205" t="s">
        <v>117</v>
      </c>
      <c r="P205" t="s">
        <v>158</v>
      </c>
      <c r="Q205" t="s">
        <v>159</v>
      </c>
      <c r="R205">
        <v>66.283999999999992</v>
      </c>
      <c r="S205">
        <v>2</v>
      </c>
      <c r="T205" s="11">
        <f t="shared" si="9"/>
        <v>0</v>
      </c>
      <c r="U205" s="6">
        <v>39.770399999999995</v>
      </c>
      <c r="V205" s="11">
        <f t="shared" si="10"/>
        <v>0</v>
      </c>
      <c r="W205" s="9">
        <f t="shared" si="11"/>
        <v>0.6</v>
      </c>
    </row>
    <row r="206" spans="1:23" hidden="1">
      <c r="A206">
        <v>205</v>
      </c>
      <c r="B206" t="s">
        <v>672</v>
      </c>
      <c r="C206" s="5">
        <v>42889</v>
      </c>
      <c r="D206" s="5">
        <v>42893</v>
      </c>
      <c r="E206" t="s">
        <v>132</v>
      </c>
      <c r="F206" t="s">
        <v>673</v>
      </c>
      <c r="G206" t="s">
        <v>674</v>
      </c>
      <c r="H206" t="s">
        <v>125</v>
      </c>
      <c r="I206" t="s">
        <v>113</v>
      </c>
      <c r="J206" t="s">
        <v>56</v>
      </c>
      <c r="K206" t="s">
        <v>332</v>
      </c>
      <c r="L206">
        <v>37064</v>
      </c>
      <c r="M206" t="s">
        <v>115</v>
      </c>
      <c r="N206" t="s">
        <v>675</v>
      </c>
      <c r="O206" t="s">
        <v>117</v>
      </c>
      <c r="P206" t="s">
        <v>35</v>
      </c>
      <c r="Q206" t="s">
        <v>118</v>
      </c>
      <c r="R206">
        <v>35.168000000000013</v>
      </c>
      <c r="S206">
        <v>7</v>
      </c>
      <c r="T206" s="11">
        <f t="shared" si="9"/>
        <v>0.05</v>
      </c>
      <c r="U206" s="6">
        <v>73.85280000000003</v>
      </c>
      <c r="V206" s="11">
        <f t="shared" si="10"/>
        <v>1.7584000000000009</v>
      </c>
      <c r="W206" s="9">
        <f t="shared" si="11"/>
        <v>2.1</v>
      </c>
    </row>
    <row r="207" spans="1:23" hidden="1">
      <c r="A207">
        <v>206</v>
      </c>
      <c r="B207" t="s">
        <v>676</v>
      </c>
      <c r="C207" s="5">
        <v>43078</v>
      </c>
      <c r="D207" s="5">
        <v>43083</v>
      </c>
      <c r="E207" t="s">
        <v>132</v>
      </c>
      <c r="F207" t="s">
        <v>677</v>
      </c>
      <c r="G207" t="s">
        <v>678</v>
      </c>
      <c r="H207" t="s">
        <v>112</v>
      </c>
      <c r="I207" t="s">
        <v>113</v>
      </c>
      <c r="J207" t="s">
        <v>679</v>
      </c>
      <c r="K207" t="s">
        <v>126</v>
      </c>
      <c r="L207">
        <v>90604</v>
      </c>
      <c r="M207" t="s">
        <v>127</v>
      </c>
      <c r="N207" t="s">
        <v>680</v>
      </c>
      <c r="O207" t="s">
        <v>117</v>
      </c>
      <c r="P207" t="s">
        <v>120</v>
      </c>
      <c r="Q207" t="s">
        <v>121</v>
      </c>
      <c r="R207">
        <v>444.76799999999997</v>
      </c>
      <c r="S207">
        <v>4</v>
      </c>
      <c r="T207" s="11">
        <f t="shared" si="9"/>
        <v>0</v>
      </c>
      <c r="U207" s="6">
        <v>533.72159999999997</v>
      </c>
      <c r="V207" s="11">
        <f t="shared" si="10"/>
        <v>0</v>
      </c>
      <c r="W207" s="9">
        <f t="shared" si="11"/>
        <v>1.2</v>
      </c>
    </row>
    <row r="208" spans="1:23" hidden="1">
      <c r="A208">
        <v>207</v>
      </c>
      <c r="B208" t="s">
        <v>681</v>
      </c>
      <c r="C208" s="5">
        <v>43070</v>
      </c>
      <c r="D208" s="5">
        <v>43076</v>
      </c>
      <c r="E208" t="s">
        <v>132</v>
      </c>
      <c r="F208" t="s">
        <v>682</v>
      </c>
      <c r="G208" t="s">
        <v>683</v>
      </c>
      <c r="H208" t="s">
        <v>112</v>
      </c>
      <c r="I208" t="s">
        <v>113</v>
      </c>
      <c r="J208" t="s">
        <v>77</v>
      </c>
      <c r="K208" t="s">
        <v>268</v>
      </c>
      <c r="L208">
        <v>48601</v>
      </c>
      <c r="M208" t="s">
        <v>174</v>
      </c>
      <c r="N208" t="s">
        <v>684</v>
      </c>
      <c r="O208" t="s">
        <v>117</v>
      </c>
      <c r="P208" t="s">
        <v>129</v>
      </c>
      <c r="Q208" t="s">
        <v>130</v>
      </c>
      <c r="R208">
        <v>83.92</v>
      </c>
      <c r="S208">
        <v>4</v>
      </c>
      <c r="T208" s="11">
        <f t="shared" si="9"/>
        <v>0</v>
      </c>
      <c r="U208" s="6">
        <v>100.70399999999999</v>
      </c>
      <c r="V208" s="11">
        <f t="shared" si="10"/>
        <v>0</v>
      </c>
      <c r="W208" s="9">
        <f t="shared" si="11"/>
        <v>1.2</v>
      </c>
    </row>
    <row r="209" spans="1:23" hidden="1">
      <c r="A209">
        <v>208</v>
      </c>
      <c r="B209" t="s">
        <v>681</v>
      </c>
      <c r="C209" s="5">
        <v>43070</v>
      </c>
      <c r="D209" s="5">
        <v>43076</v>
      </c>
      <c r="E209" t="s">
        <v>132</v>
      </c>
      <c r="F209" t="s">
        <v>682</v>
      </c>
      <c r="G209" t="s">
        <v>683</v>
      </c>
      <c r="H209" t="s">
        <v>112</v>
      </c>
      <c r="I209" t="s">
        <v>113</v>
      </c>
      <c r="J209" t="s">
        <v>77</v>
      </c>
      <c r="K209" t="s">
        <v>268</v>
      </c>
      <c r="L209">
        <v>48601</v>
      </c>
      <c r="M209" t="s">
        <v>174</v>
      </c>
      <c r="N209" t="s">
        <v>685</v>
      </c>
      <c r="O209" t="s">
        <v>117</v>
      </c>
      <c r="P209" t="s">
        <v>35</v>
      </c>
      <c r="Q209" t="s">
        <v>136</v>
      </c>
      <c r="R209">
        <v>131.97999999999999</v>
      </c>
      <c r="S209">
        <v>2</v>
      </c>
      <c r="T209" s="11">
        <f t="shared" si="9"/>
        <v>0</v>
      </c>
      <c r="U209" s="6">
        <v>79.187999999999988</v>
      </c>
      <c r="V209" s="11">
        <f t="shared" si="10"/>
        <v>0</v>
      </c>
      <c r="W209" s="9">
        <f t="shared" si="11"/>
        <v>0.6</v>
      </c>
    </row>
    <row r="210" spans="1:23" hidden="1">
      <c r="A210">
        <v>209</v>
      </c>
      <c r="B210" t="s">
        <v>681</v>
      </c>
      <c r="C210" s="5">
        <v>43070</v>
      </c>
      <c r="D210" s="5">
        <v>43076</v>
      </c>
      <c r="E210" t="s">
        <v>132</v>
      </c>
      <c r="F210" t="s">
        <v>682</v>
      </c>
      <c r="G210" t="s">
        <v>683</v>
      </c>
      <c r="H210" t="s">
        <v>112</v>
      </c>
      <c r="I210" t="s">
        <v>113</v>
      </c>
      <c r="J210" t="s">
        <v>77</v>
      </c>
      <c r="K210" t="s">
        <v>268</v>
      </c>
      <c r="L210">
        <v>48601</v>
      </c>
      <c r="M210" t="s">
        <v>174</v>
      </c>
      <c r="N210" t="s">
        <v>480</v>
      </c>
      <c r="O210" t="s">
        <v>117</v>
      </c>
      <c r="P210" t="s">
        <v>138</v>
      </c>
      <c r="Q210" t="s">
        <v>139</v>
      </c>
      <c r="R210">
        <v>15.92</v>
      </c>
      <c r="S210">
        <v>4</v>
      </c>
      <c r="T210" s="11">
        <f t="shared" si="9"/>
        <v>0</v>
      </c>
      <c r="U210" s="6">
        <v>19.103999999999999</v>
      </c>
      <c r="V210" s="11">
        <f t="shared" si="10"/>
        <v>0</v>
      </c>
      <c r="W210" s="9">
        <f t="shared" si="11"/>
        <v>1.2</v>
      </c>
    </row>
    <row r="211" spans="1:23" hidden="1">
      <c r="A211">
        <v>210</v>
      </c>
      <c r="B211" t="s">
        <v>681</v>
      </c>
      <c r="C211" s="5">
        <v>43070</v>
      </c>
      <c r="D211" s="5">
        <v>43076</v>
      </c>
      <c r="E211" t="s">
        <v>132</v>
      </c>
      <c r="F211" t="s">
        <v>682</v>
      </c>
      <c r="G211" t="s">
        <v>683</v>
      </c>
      <c r="H211" t="s">
        <v>112</v>
      </c>
      <c r="I211" t="s">
        <v>113</v>
      </c>
      <c r="J211" t="s">
        <v>77</v>
      </c>
      <c r="K211" t="s">
        <v>268</v>
      </c>
      <c r="L211">
        <v>48601</v>
      </c>
      <c r="M211" t="s">
        <v>174</v>
      </c>
      <c r="N211" t="s">
        <v>686</v>
      </c>
      <c r="O211" t="s">
        <v>117</v>
      </c>
      <c r="P211" t="s">
        <v>144</v>
      </c>
      <c r="Q211" t="s">
        <v>145</v>
      </c>
      <c r="R211">
        <v>52.29</v>
      </c>
      <c r="S211">
        <v>9</v>
      </c>
      <c r="T211" s="11">
        <f t="shared" si="9"/>
        <v>0.05</v>
      </c>
      <c r="U211" s="6">
        <v>141.18299999999999</v>
      </c>
      <c r="V211" s="11">
        <f t="shared" si="10"/>
        <v>2.6145</v>
      </c>
      <c r="W211" s="9">
        <f t="shared" si="11"/>
        <v>2.6999999999999997</v>
      </c>
    </row>
    <row r="212" spans="1:23" hidden="1">
      <c r="A212">
        <v>211</v>
      </c>
      <c r="B212" t="s">
        <v>681</v>
      </c>
      <c r="C212" s="5">
        <v>43070</v>
      </c>
      <c r="D212" s="5">
        <v>43076</v>
      </c>
      <c r="E212" t="s">
        <v>132</v>
      </c>
      <c r="F212" t="s">
        <v>682</v>
      </c>
      <c r="G212" t="s">
        <v>683</v>
      </c>
      <c r="H212" t="s">
        <v>112</v>
      </c>
      <c r="I212" t="s">
        <v>113</v>
      </c>
      <c r="J212" t="s">
        <v>77</v>
      </c>
      <c r="K212" t="s">
        <v>268</v>
      </c>
      <c r="L212">
        <v>48601</v>
      </c>
      <c r="M212" t="s">
        <v>174</v>
      </c>
      <c r="N212" t="s">
        <v>687</v>
      </c>
      <c r="O212" t="s">
        <v>117</v>
      </c>
      <c r="P212" t="s">
        <v>35</v>
      </c>
      <c r="Q212" t="s">
        <v>147</v>
      </c>
      <c r="R212">
        <v>91.99</v>
      </c>
      <c r="S212">
        <v>1</v>
      </c>
      <c r="T212" s="11">
        <f t="shared" si="9"/>
        <v>0</v>
      </c>
      <c r="U212" s="6">
        <v>27.596999999999998</v>
      </c>
      <c r="V212" s="11">
        <f t="shared" si="10"/>
        <v>0</v>
      </c>
      <c r="W212" s="9">
        <f t="shared" si="11"/>
        <v>0.3</v>
      </c>
    </row>
    <row r="213" spans="1:23" hidden="1">
      <c r="A213">
        <v>212</v>
      </c>
      <c r="B213" t="s">
        <v>688</v>
      </c>
      <c r="C213" s="5">
        <v>42044</v>
      </c>
      <c r="D213" s="5">
        <v>42048</v>
      </c>
      <c r="E213" t="s">
        <v>109</v>
      </c>
      <c r="F213" t="s">
        <v>689</v>
      </c>
      <c r="G213" t="s">
        <v>690</v>
      </c>
      <c r="H213" t="s">
        <v>125</v>
      </c>
      <c r="I213" t="s">
        <v>113</v>
      </c>
      <c r="J213" t="s">
        <v>49</v>
      </c>
      <c r="K213" t="s">
        <v>1</v>
      </c>
      <c r="L213">
        <v>75220</v>
      </c>
      <c r="M213" t="s">
        <v>174</v>
      </c>
      <c r="N213" t="s">
        <v>691</v>
      </c>
      <c r="O213" t="s">
        <v>117</v>
      </c>
      <c r="P213" t="s">
        <v>35</v>
      </c>
      <c r="Q213" t="s">
        <v>149</v>
      </c>
      <c r="R213">
        <v>20.8</v>
      </c>
      <c r="S213">
        <v>2</v>
      </c>
      <c r="T213" s="11">
        <f t="shared" si="9"/>
        <v>0</v>
      </c>
      <c r="U213" s="6">
        <v>12.48</v>
      </c>
      <c r="V213" s="11">
        <f t="shared" si="10"/>
        <v>0</v>
      </c>
      <c r="W213" s="9">
        <f t="shared" si="11"/>
        <v>0.6</v>
      </c>
    </row>
    <row r="214" spans="1:23" hidden="1">
      <c r="A214">
        <v>213</v>
      </c>
      <c r="B214" t="s">
        <v>692</v>
      </c>
      <c r="C214" s="5">
        <v>42006</v>
      </c>
      <c r="D214" s="5">
        <v>42013</v>
      </c>
      <c r="E214" t="s">
        <v>132</v>
      </c>
      <c r="F214" t="s">
        <v>693</v>
      </c>
      <c r="G214" t="s">
        <v>694</v>
      </c>
      <c r="H214" t="s">
        <v>125</v>
      </c>
      <c r="I214" t="s">
        <v>113</v>
      </c>
      <c r="J214" t="s">
        <v>64</v>
      </c>
      <c r="K214" t="s">
        <v>447</v>
      </c>
      <c r="L214">
        <v>44256</v>
      </c>
      <c r="M214" t="s">
        <v>206</v>
      </c>
      <c r="N214" t="s">
        <v>695</v>
      </c>
      <c r="O214" t="s">
        <v>117</v>
      </c>
      <c r="P214" t="s">
        <v>129</v>
      </c>
      <c r="Q214" t="s">
        <v>151</v>
      </c>
      <c r="R214">
        <v>23.68</v>
      </c>
      <c r="S214">
        <v>2</v>
      </c>
      <c r="T214" s="11">
        <f t="shared" si="9"/>
        <v>0</v>
      </c>
      <c r="U214" s="6">
        <v>14.208</v>
      </c>
      <c r="V214" s="11">
        <f t="shared" si="10"/>
        <v>0</v>
      </c>
      <c r="W214" s="9">
        <f t="shared" si="11"/>
        <v>0.6</v>
      </c>
    </row>
    <row r="215" spans="1:23" hidden="1">
      <c r="A215">
        <v>214</v>
      </c>
      <c r="B215" t="s">
        <v>692</v>
      </c>
      <c r="C215" s="5">
        <v>42006</v>
      </c>
      <c r="D215" s="5">
        <v>42013</v>
      </c>
      <c r="E215" t="s">
        <v>132</v>
      </c>
      <c r="F215" t="s">
        <v>693</v>
      </c>
      <c r="G215" t="s">
        <v>694</v>
      </c>
      <c r="H215" t="s">
        <v>125</v>
      </c>
      <c r="I215" t="s">
        <v>113</v>
      </c>
      <c r="J215" t="s">
        <v>64</v>
      </c>
      <c r="K215" t="s">
        <v>447</v>
      </c>
      <c r="L215">
        <v>44256</v>
      </c>
      <c r="M215" t="s">
        <v>206</v>
      </c>
      <c r="N215" t="s">
        <v>696</v>
      </c>
      <c r="O215" t="s">
        <v>117</v>
      </c>
      <c r="P215" t="s">
        <v>153</v>
      </c>
      <c r="Q215" t="s">
        <v>154</v>
      </c>
      <c r="R215">
        <v>452.45</v>
      </c>
      <c r="S215">
        <v>5</v>
      </c>
      <c r="T215" s="11">
        <f t="shared" si="9"/>
        <v>0.05</v>
      </c>
      <c r="U215" s="6">
        <v>678.67499999999995</v>
      </c>
      <c r="V215" s="11">
        <f t="shared" si="10"/>
        <v>22.622500000000002</v>
      </c>
      <c r="W215" s="9">
        <f t="shared" si="11"/>
        <v>1.5</v>
      </c>
    </row>
    <row r="216" spans="1:23" hidden="1">
      <c r="A216">
        <v>215</v>
      </c>
      <c r="B216" t="s">
        <v>692</v>
      </c>
      <c r="C216" s="5">
        <v>42006</v>
      </c>
      <c r="D216" s="5">
        <v>42013</v>
      </c>
      <c r="E216" t="s">
        <v>132</v>
      </c>
      <c r="F216" t="s">
        <v>693</v>
      </c>
      <c r="G216" t="s">
        <v>694</v>
      </c>
      <c r="H216" t="s">
        <v>125</v>
      </c>
      <c r="I216" t="s">
        <v>113</v>
      </c>
      <c r="J216" t="s">
        <v>64</v>
      </c>
      <c r="K216" t="s">
        <v>447</v>
      </c>
      <c r="L216">
        <v>44256</v>
      </c>
      <c r="M216" t="s">
        <v>206</v>
      </c>
      <c r="N216" t="s">
        <v>427</v>
      </c>
      <c r="O216" t="s">
        <v>117</v>
      </c>
      <c r="P216" t="s">
        <v>144</v>
      </c>
      <c r="Q216" t="s">
        <v>156</v>
      </c>
      <c r="R216">
        <v>62.981999999999999</v>
      </c>
      <c r="S216">
        <v>3</v>
      </c>
      <c r="T216" s="11">
        <f t="shared" si="9"/>
        <v>0</v>
      </c>
      <c r="U216" s="6">
        <v>56.683799999999998</v>
      </c>
      <c r="V216" s="11">
        <f t="shared" si="10"/>
        <v>0</v>
      </c>
      <c r="W216" s="9">
        <f t="shared" si="11"/>
        <v>0.9</v>
      </c>
    </row>
    <row r="217" spans="1:23" hidden="1">
      <c r="A217">
        <v>216</v>
      </c>
      <c r="B217" t="s">
        <v>692</v>
      </c>
      <c r="C217" s="5">
        <v>42006</v>
      </c>
      <c r="D217" s="5">
        <v>42013</v>
      </c>
      <c r="E217" t="s">
        <v>132</v>
      </c>
      <c r="F217" t="s">
        <v>693</v>
      </c>
      <c r="G217" t="s">
        <v>694</v>
      </c>
      <c r="H217" t="s">
        <v>125</v>
      </c>
      <c r="I217" t="s">
        <v>113</v>
      </c>
      <c r="J217" t="s">
        <v>64</v>
      </c>
      <c r="K217" t="s">
        <v>447</v>
      </c>
      <c r="L217">
        <v>44256</v>
      </c>
      <c r="M217" t="s">
        <v>206</v>
      </c>
      <c r="N217" t="s">
        <v>697</v>
      </c>
      <c r="O217" t="s">
        <v>117</v>
      </c>
      <c r="P217" t="s">
        <v>158</v>
      </c>
      <c r="Q217" t="s">
        <v>159</v>
      </c>
      <c r="R217">
        <v>1188</v>
      </c>
      <c r="S217">
        <v>9</v>
      </c>
      <c r="T217" s="11">
        <f t="shared" si="9"/>
        <v>0.05</v>
      </c>
      <c r="U217" s="6">
        <v>3207.6</v>
      </c>
      <c r="V217" s="11">
        <f t="shared" si="10"/>
        <v>59.400000000000006</v>
      </c>
      <c r="W217" s="9">
        <f t="shared" si="11"/>
        <v>2.6999999999999997</v>
      </c>
    </row>
    <row r="218" spans="1:23" hidden="1">
      <c r="A218">
        <v>217</v>
      </c>
      <c r="B218" t="s">
        <v>692</v>
      </c>
      <c r="C218" s="5">
        <v>42006</v>
      </c>
      <c r="D218" s="5">
        <v>42013</v>
      </c>
      <c r="E218" t="s">
        <v>132</v>
      </c>
      <c r="F218" t="s">
        <v>693</v>
      </c>
      <c r="G218" t="s">
        <v>694</v>
      </c>
      <c r="H218" t="s">
        <v>125</v>
      </c>
      <c r="I218" t="s">
        <v>113</v>
      </c>
      <c r="J218" t="s">
        <v>64</v>
      </c>
      <c r="K218" t="s">
        <v>447</v>
      </c>
      <c r="L218">
        <v>44256</v>
      </c>
      <c r="M218" t="s">
        <v>206</v>
      </c>
      <c r="N218" t="s">
        <v>698</v>
      </c>
      <c r="O218" t="s">
        <v>117</v>
      </c>
      <c r="P218" t="s">
        <v>35</v>
      </c>
      <c r="Q218" t="s">
        <v>118</v>
      </c>
      <c r="R218">
        <v>89.584000000000003</v>
      </c>
      <c r="S218">
        <v>2</v>
      </c>
      <c r="T218" s="11">
        <f t="shared" si="9"/>
        <v>0</v>
      </c>
      <c r="U218" s="6">
        <v>53.750399999999999</v>
      </c>
      <c r="V218" s="11">
        <f t="shared" si="10"/>
        <v>0</v>
      </c>
      <c r="W218" s="9">
        <f t="shared" si="11"/>
        <v>0.6</v>
      </c>
    </row>
    <row r="219" spans="1:23" hidden="1">
      <c r="A219">
        <v>218</v>
      </c>
      <c r="B219" t="s">
        <v>699</v>
      </c>
      <c r="C219" s="5">
        <v>42671</v>
      </c>
      <c r="D219" s="5">
        <v>42675</v>
      </c>
      <c r="E219" t="s">
        <v>132</v>
      </c>
      <c r="F219" t="s">
        <v>700</v>
      </c>
      <c r="G219" t="s">
        <v>701</v>
      </c>
      <c r="H219" t="s">
        <v>112</v>
      </c>
      <c r="I219" t="s">
        <v>113</v>
      </c>
      <c r="J219" t="s">
        <v>63</v>
      </c>
      <c r="K219" t="s">
        <v>126</v>
      </c>
      <c r="L219">
        <v>90032</v>
      </c>
      <c r="M219" t="s">
        <v>127</v>
      </c>
      <c r="N219" t="s">
        <v>629</v>
      </c>
      <c r="O219" t="s">
        <v>117</v>
      </c>
      <c r="P219" t="s">
        <v>120</v>
      </c>
      <c r="Q219" t="s">
        <v>121</v>
      </c>
      <c r="R219">
        <v>93.06</v>
      </c>
      <c r="S219">
        <v>6</v>
      </c>
      <c r="T219" s="11">
        <f t="shared" si="9"/>
        <v>0.05</v>
      </c>
      <c r="U219" s="6">
        <v>167.50800000000001</v>
      </c>
      <c r="V219" s="11">
        <f t="shared" si="10"/>
        <v>4.6530000000000005</v>
      </c>
      <c r="W219" s="9">
        <f t="shared" si="11"/>
        <v>1.8</v>
      </c>
    </row>
    <row r="220" spans="1:23" hidden="1">
      <c r="A220">
        <v>219</v>
      </c>
      <c r="B220" t="s">
        <v>699</v>
      </c>
      <c r="C220" s="5">
        <v>42671</v>
      </c>
      <c r="D220" s="5">
        <v>42675</v>
      </c>
      <c r="E220" t="s">
        <v>132</v>
      </c>
      <c r="F220" t="s">
        <v>700</v>
      </c>
      <c r="G220" t="s">
        <v>701</v>
      </c>
      <c r="H220" t="s">
        <v>112</v>
      </c>
      <c r="I220" t="s">
        <v>113</v>
      </c>
      <c r="J220" t="s">
        <v>63</v>
      </c>
      <c r="K220" t="s">
        <v>126</v>
      </c>
      <c r="L220">
        <v>90032</v>
      </c>
      <c r="M220" t="s">
        <v>127</v>
      </c>
      <c r="N220" t="s">
        <v>702</v>
      </c>
      <c r="O220" t="s">
        <v>117</v>
      </c>
      <c r="P220" t="s">
        <v>129</v>
      </c>
      <c r="Q220" t="s">
        <v>130</v>
      </c>
      <c r="R220">
        <v>302.37599999999998</v>
      </c>
      <c r="S220">
        <v>3</v>
      </c>
      <c r="T220" s="11">
        <f t="shared" si="9"/>
        <v>0</v>
      </c>
      <c r="U220" s="6">
        <v>272.13839999999999</v>
      </c>
      <c r="V220" s="11">
        <f t="shared" si="10"/>
        <v>0</v>
      </c>
      <c r="W220" s="9">
        <f t="shared" si="11"/>
        <v>0.9</v>
      </c>
    </row>
    <row r="221" spans="1:23" hidden="1">
      <c r="A221">
        <v>220</v>
      </c>
      <c r="B221" t="s">
        <v>703</v>
      </c>
      <c r="C221" s="5">
        <v>42362</v>
      </c>
      <c r="D221" s="5">
        <v>42365</v>
      </c>
      <c r="E221" t="s">
        <v>231</v>
      </c>
      <c r="F221" t="s">
        <v>704</v>
      </c>
      <c r="G221" t="s">
        <v>705</v>
      </c>
      <c r="H221" t="s">
        <v>112</v>
      </c>
      <c r="I221" t="s">
        <v>113</v>
      </c>
      <c r="J221" t="s">
        <v>52</v>
      </c>
      <c r="K221" t="s">
        <v>447</v>
      </c>
      <c r="L221">
        <v>43017</v>
      </c>
      <c r="M221" t="s">
        <v>206</v>
      </c>
      <c r="N221" t="s">
        <v>706</v>
      </c>
      <c r="O221" t="s">
        <v>117</v>
      </c>
      <c r="P221" t="s">
        <v>35</v>
      </c>
      <c r="Q221" t="s">
        <v>136</v>
      </c>
      <c r="R221">
        <v>5.5840000000000014</v>
      </c>
      <c r="S221">
        <v>2</v>
      </c>
      <c r="T221" s="11">
        <f t="shared" si="9"/>
        <v>0</v>
      </c>
      <c r="U221" s="6">
        <v>3.3504000000000009</v>
      </c>
      <c r="V221" s="11">
        <f t="shared" si="10"/>
        <v>0</v>
      </c>
      <c r="W221" s="9">
        <f t="shared" si="11"/>
        <v>0.6</v>
      </c>
    </row>
    <row r="222" spans="1:23" hidden="1">
      <c r="A222">
        <v>221</v>
      </c>
      <c r="B222" t="s">
        <v>703</v>
      </c>
      <c r="C222" s="5">
        <v>42362</v>
      </c>
      <c r="D222" s="5">
        <v>42365</v>
      </c>
      <c r="E222" t="s">
        <v>231</v>
      </c>
      <c r="F222" t="s">
        <v>704</v>
      </c>
      <c r="G222" t="s">
        <v>705</v>
      </c>
      <c r="H222" t="s">
        <v>112</v>
      </c>
      <c r="I222" t="s">
        <v>113</v>
      </c>
      <c r="J222" t="s">
        <v>52</v>
      </c>
      <c r="K222" t="s">
        <v>447</v>
      </c>
      <c r="L222">
        <v>43017</v>
      </c>
      <c r="M222" t="s">
        <v>206</v>
      </c>
      <c r="N222" t="s">
        <v>707</v>
      </c>
      <c r="O222" t="s">
        <v>117</v>
      </c>
      <c r="P222" t="s">
        <v>138</v>
      </c>
      <c r="Q222" t="s">
        <v>139</v>
      </c>
      <c r="R222">
        <v>22.704000000000001</v>
      </c>
      <c r="S222">
        <v>6</v>
      </c>
      <c r="T222" s="11">
        <f t="shared" si="9"/>
        <v>0.05</v>
      </c>
      <c r="U222" s="6">
        <v>40.867199999999997</v>
      </c>
      <c r="V222" s="11">
        <f t="shared" si="10"/>
        <v>1.1352</v>
      </c>
      <c r="W222" s="9">
        <f t="shared" si="11"/>
        <v>1.7999999999999998</v>
      </c>
    </row>
    <row r="223" spans="1:23" hidden="1">
      <c r="A223">
        <v>222</v>
      </c>
      <c r="B223" t="s">
        <v>703</v>
      </c>
      <c r="C223" s="5">
        <v>42362</v>
      </c>
      <c r="D223" s="5">
        <v>42365</v>
      </c>
      <c r="E223" t="s">
        <v>231</v>
      </c>
      <c r="F223" t="s">
        <v>704</v>
      </c>
      <c r="G223" t="s">
        <v>705</v>
      </c>
      <c r="H223" t="s">
        <v>112</v>
      </c>
      <c r="I223" t="s">
        <v>113</v>
      </c>
      <c r="J223" t="s">
        <v>52</v>
      </c>
      <c r="K223" t="s">
        <v>447</v>
      </c>
      <c r="L223">
        <v>43017</v>
      </c>
      <c r="M223" t="s">
        <v>206</v>
      </c>
      <c r="N223" t="s">
        <v>387</v>
      </c>
      <c r="O223" t="s">
        <v>117</v>
      </c>
      <c r="P223" t="s">
        <v>144</v>
      </c>
      <c r="Q223" t="s">
        <v>145</v>
      </c>
      <c r="R223">
        <v>19.776</v>
      </c>
      <c r="S223">
        <v>4</v>
      </c>
      <c r="T223" s="11">
        <f t="shared" si="9"/>
        <v>0</v>
      </c>
      <c r="U223" s="6">
        <v>23.731199999999998</v>
      </c>
      <c r="V223" s="11">
        <f t="shared" si="10"/>
        <v>0</v>
      </c>
      <c r="W223" s="9">
        <f t="shared" si="11"/>
        <v>1.2</v>
      </c>
    </row>
    <row r="224" spans="1:23" hidden="1">
      <c r="A224">
        <v>223</v>
      </c>
      <c r="B224" t="s">
        <v>703</v>
      </c>
      <c r="C224" s="5">
        <v>42362</v>
      </c>
      <c r="D224" s="5">
        <v>42365</v>
      </c>
      <c r="E224" t="s">
        <v>231</v>
      </c>
      <c r="F224" t="s">
        <v>704</v>
      </c>
      <c r="G224" t="s">
        <v>705</v>
      </c>
      <c r="H224" t="s">
        <v>112</v>
      </c>
      <c r="I224" t="s">
        <v>113</v>
      </c>
      <c r="J224" t="s">
        <v>52</v>
      </c>
      <c r="K224" t="s">
        <v>447</v>
      </c>
      <c r="L224">
        <v>43017</v>
      </c>
      <c r="M224" t="s">
        <v>206</v>
      </c>
      <c r="N224" t="s">
        <v>708</v>
      </c>
      <c r="O224" t="s">
        <v>117</v>
      </c>
      <c r="P224" t="s">
        <v>35</v>
      </c>
      <c r="Q224" t="s">
        <v>147</v>
      </c>
      <c r="R224">
        <v>72.703999999999994</v>
      </c>
      <c r="S224">
        <v>4</v>
      </c>
      <c r="T224" s="11">
        <f t="shared" si="9"/>
        <v>0</v>
      </c>
      <c r="U224" s="6">
        <v>87.244799999999984</v>
      </c>
      <c r="V224" s="11">
        <f t="shared" si="10"/>
        <v>0</v>
      </c>
      <c r="W224" s="9">
        <f t="shared" si="11"/>
        <v>1.2</v>
      </c>
    </row>
    <row r="225" spans="1:23" hidden="1">
      <c r="A225">
        <v>224</v>
      </c>
      <c r="B225" t="s">
        <v>703</v>
      </c>
      <c r="C225" s="5">
        <v>42362</v>
      </c>
      <c r="D225" s="5">
        <v>42365</v>
      </c>
      <c r="E225" t="s">
        <v>231</v>
      </c>
      <c r="F225" t="s">
        <v>704</v>
      </c>
      <c r="G225" t="s">
        <v>705</v>
      </c>
      <c r="H225" t="s">
        <v>112</v>
      </c>
      <c r="I225" t="s">
        <v>113</v>
      </c>
      <c r="J225" t="s">
        <v>52</v>
      </c>
      <c r="K225" t="s">
        <v>447</v>
      </c>
      <c r="L225">
        <v>43017</v>
      </c>
      <c r="M225" t="s">
        <v>206</v>
      </c>
      <c r="N225" t="s">
        <v>709</v>
      </c>
      <c r="O225" t="s">
        <v>117</v>
      </c>
      <c r="P225" t="s">
        <v>35</v>
      </c>
      <c r="Q225" t="s">
        <v>149</v>
      </c>
      <c r="R225">
        <v>479.98800000000011</v>
      </c>
      <c r="S225">
        <v>4</v>
      </c>
      <c r="T225" s="11">
        <f t="shared" si="9"/>
        <v>0</v>
      </c>
      <c r="U225" s="6">
        <v>575.98560000000009</v>
      </c>
      <c r="V225" s="11">
        <f t="shared" si="10"/>
        <v>0</v>
      </c>
      <c r="W225" s="9">
        <f t="shared" si="11"/>
        <v>1.2</v>
      </c>
    </row>
    <row r="226" spans="1:23" hidden="1">
      <c r="A226">
        <v>225</v>
      </c>
      <c r="B226" t="s">
        <v>703</v>
      </c>
      <c r="C226" s="5">
        <v>42362</v>
      </c>
      <c r="D226" s="5">
        <v>42365</v>
      </c>
      <c r="E226" t="s">
        <v>231</v>
      </c>
      <c r="F226" t="s">
        <v>704</v>
      </c>
      <c r="G226" t="s">
        <v>705</v>
      </c>
      <c r="H226" t="s">
        <v>112</v>
      </c>
      <c r="I226" t="s">
        <v>113</v>
      </c>
      <c r="J226" t="s">
        <v>52</v>
      </c>
      <c r="K226" t="s">
        <v>447</v>
      </c>
      <c r="L226">
        <v>43017</v>
      </c>
      <c r="M226" t="s">
        <v>206</v>
      </c>
      <c r="N226" t="s">
        <v>710</v>
      </c>
      <c r="O226" t="s">
        <v>117</v>
      </c>
      <c r="P226" t="s">
        <v>129</v>
      </c>
      <c r="Q226" t="s">
        <v>151</v>
      </c>
      <c r="R226">
        <v>27.167999999999999</v>
      </c>
      <c r="S226">
        <v>2</v>
      </c>
      <c r="T226" s="11">
        <f t="shared" si="9"/>
        <v>0</v>
      </c>
      <c r="U226" s="6">
        <v>16.300799999999999</v>
      </c>
      <c r="V226" s="11">
        <f t="shared" si="10"/>
        <v>0</v>
      </c>
      <c r="W226" s="9">
        <f t="shared" si="11"/>
        <v>0.6</v>
      </c>
    </row>
    <row r="227" spans="1:23" hidden="1">
      <c r="A227">
        <v>226</v>
      </c>
      <c r="B227" t="s">
        <v>711</v>
      </c>
      <c r="C227" s="5">
        <v>42225</v>
      </c>
      <c r="D227" s="5">
        <v>42232</v>
      </c>
      <c r="E227" t="s">
        <v>132</v>
      </c>
      <c r="F227" t="s">
        <v>712</v>
      </c>
      <c r="G227" t="s">
        <v>713</v>
      </c>
      <c r="H227" t="s">
        <v>125</v>
      </c>
      <c r="I227" t="s">
        <v>113</v>
      </c>
      <c r="J227" t="s">
        <v>714</v>
      </c>
      <c r="K227" t="s">
        <v>268</v>
      </c>
      <c r="L227">
        <v>48227</v>
      </c>
      <c r="M227" t="s">
        <v>174</v>
      </c>
      <c r="N227" t="s">
        <v>715</v>
      </c>
      <c r="O227" t="s">
        <v>117</v>
      </c>
      <c r="P227" t="s">
        <v>153</v>
      </c>
      <c r="Q227" t="s">
        <v>154</v>
      </c>
      <c r="R227">
        <v>2.2000000000000002</v>
      </c>
      <c r="S227">
        <v>1</v>
      </c>
      <c r="T227" s="11">
        <f t="shared" si="9"/>
        <v>0</v>
      </c>
      <c r="U227" s="6">
        <v>0.66</v>
      </c>
      <c r="V227" s="11">
        <f t="shared" si="10"/>
        <v>0</v>
      </c>
      <c r="W227" s="9">
        <f t="shared" si="11"/>
        <v>0.3</v>
      </c>
    </row>
    <row r="228" spans="1:23" hidden="1">
      <c r="A228">
        <v>227</v>
      </c>
      <c r="B228" t="s">
        <v>711</v>
      </c>
      <c r="C228" s="5">
        <v>42225</v>
      </c>
      <c r="D228" s="5">
        <v>42232</v>
      </c>
      <c r="E228" t="s">
        <v>132</v>
      </c>
      <c r="F228" t="s">
        <v>712</v>
      </c>
      <c r="G228" t="s">
        <v>713</v>
      </c>
      <c r="H228" t="s">
        <v>125</v>
      </c>
      <c r="I228" t="s">
        <v>113</v>
      </c>
      <c r="J228" t="s">
        <v>714</v>
      </c>
      <c r="K228" t="s">
        <v>268</v>
      </c>
      <c r="L228">
        <v>48227</v>
      </c>
      <c r="M228" t="s">
        <v>174</v>
      </c>
      <c r="N228" t="s">
        <v>716</v>
      </c>
      <c r="O228" t="s">
        <v>117</v>
      </c>
      <c r="P228" t="s">
        <v>144</v>
      </c>
      <c r="Q228" t="s">
        <v>156</v>
      </c>
      <c r="R228">
        <v>622.44999999999993</v>
      </c>
      <c r="S228">
        <v>5</v>
      </c>
      <c r="T228" s="11">
        <f t="shared" si="9"/>
        <v>0.05</v>
      </c>
      <c r="U228" s="6">
        <v>933.67499999999984</v>
      </c>
      <c r="V228" s="11">
        <f t="shared" si="10"/>
        <v>31.122499999999999</v>
      </c>
      <c r="W228" s="9">
        <f t="shared" si="11"/>
        <v>1.5</v>
      </c>
    </row>
    <row r="229" spans="1:23" hidden="1">
      <c r="A229">
        <v>228</v>
      </c>
      <c r="B229" t="s">
        <v>711</v>
      </c>
      <c r="C229" s="5">
        <v>42225</v>
      </c>
      <c r="D229" s="5">
        <v>42232</v>
      </c>
      <c r="E229" t="s">
        <v>132</v>
      </c>
      <c r="F229" t="s">
        <v>712</v>
      </c>
      <c r="G229" t="s">
        <v>713</v>
      </c>
      <c r="H229" t="s">
        <v>125</v>
      </c>
      <c r="I229" t="s">
        <v>113</v>
      </c>
      <c r="J229" t="s">
        <v>714</v>
      </c>
      <c r="K229" t="s">
        <v>268</v>
      </c>
      <c r="L229">
        <v>48227</v>
      </c>
      <c r="M229" t="s">
        <v>174</v>
      </c>
      <c r="N229" t="s">
        <v>717</v>
      </c>
      <c r="O229" t="s">
        <v>117</v>
      </c>
      <c r="P229" t="s">
        <v>158</v>
      </c>
      <c r="Q229" t="s">
        <v>159</v>
      </c>
      <c r="R229">
        <v>21.98</v>
      </c>
      <c r="S229">
        <v>1</v>
      </c>
      <c r="T229" s="11">
        <f t="shared" si="9"/>
        <v>0</v>
      </c>
      <c r="U229" s="6">
        <v>6.5940000000000003</v>
      </c>
      <c r="V229" s="11">
        <f t="shared" si="10"/>
        <v>0</v>
      </c>
      <c r="W229" s="9">
        <f t="shared" si="11"/>
        <v>0.3</v>
      </c>
    </row>
    <row r="230" spans="1:23" hidden="1">
      <c r="A230">
        <v>229</v>
      </c>
      <c r="B230" t="s">
        <v>718</v>
      </c>
      <c r="C230" s="5">
        <v>42063</v>
      </c>
      <c r="D230" s="5">
        <v>42067</v>
      </c>
      <c r="E230" t="s">
        <v>132</v>
      </c>
      <c r="F230" t="s">
        <v>719</v>
      </c>
      <c r="G230" t="s">
        <v>720</v>
      </c>
      <c r="H230" t="s">
        <v>112</v>
      </c>
      <c r="I230" t="s">
        <v>113</v>
      </c>
      <c r="J230" t="s">
        <v>46</v>
      </c>
      <c r="K230" t="s">
        <v>332</v>
      </c>
      <c r="L230">
        <v>38401</v>
      </c>
      <c r="M230" t="s">
        <v>115</v>
      </c>
      <c r="N230" t="s">
        <v>721</v>
      </c>
      <c r="O230" t="s">
        <v>117</v>
      </c>
      <c r="P230" t="s">
        <v>35</v>
      </c>
      <c r="Q230" t="s">
        <v>118</v>
      </c>
      <c r="R230">
        <v>161.56800000000001</v>
      </c>
      <c r="S230">
        <v>2</v>
      </c>
      <c r="T230" s="11">
        <f t="shared" si="9"/>
        <v>0</v>
      </c>
      <c r="U230" s="6">
        <v>96.94080000000001</v>
      </c>
      <c r="V230" s="11">
        <f t="shared" si="10"/>
        <v>0</v>
      </c>
      <c r="W230" s="9">
        <f t="shared" si="11"/>
        <v>0.6</v>
      </c>
    </row>
    <row r="231" spans="1:23" hidden="1">
      <c r="A231">
        <v>230</v>
      </c>
      <c r="B231" t="s">
        <v>718</v>
      </c>
      <c r="C231" s="5">
        <v>42063</v>
      </c>
      <c r="D231" s="5">
        <v>42067</v>
      </c>
      <c r="E231" t="s">
        <v>132</v>
      </c>
      <c r="F231" t="s">
        <v>719</v>
      </c>
      <c r="G231" t="s">
        <v>720</v>
      </c>
      <c r="H231" t="s">
        <v>112</v>
      </c>
      <c r="I231" t="s">
        <v>113</v>
      </c>
      <c r="J231" t="s">
        <v>46</v>
      </c>
      <c r="K231" t="s">
        <v>332</v>
      </c>
      <c r="L231">
        <v>38401</v>
      </c>
      <c r="M231" t="s">
        <v>115</v>
      </c>
      <c r="N231" t="s">
        <v>722</v>
      </c>
      <c r="O231" t="s">
        <v>117</v>
      </c>
      <c r="P231" t="s">
        <v>120</v>
      </c>
      <c r="Q231" t="s">
        <v>121</v>
      </c>
      <c r="R231">
        <v>389.69600000000003</v>
      </c>
      <c r="S231">
        <v>8</v>
      </c>
      <c r="T231" s="11">
        <f t="shared" si="9"/>
        <v>0.05</v>
      </c>
      <c r="U231" s="6">
        <v>935.2704</v>
      </c>
      <c r="V231" s="11">
        <f t="shared" si="10"/>
        <v>19.484800000000003</v>
      </c>
      <c r="W231" s="9">
        <f t="shared" si="11"/>
        <v>2.4</v>
      </c>
    </row>
    <row r="232" spans="1:23" hidden="1">
      <c r="A232">
        <v>231</v>
      </c>
      <c r="B232" t="s">
        <v>723</v>
      </c>
      <c r="C232" s="5">
        <v>41895</v>
      </c>
      <c r="D232" s="5">
        <v>41899</v>
      </c>
      <c r="E232" t="s">
        <v>132</v>
      </c>
      <c r="F232" t="s">
        <v>724</v>
      </c>
      <c r="G232" t="s">
        <v>725</v>
      </c>
      <c r="H232" t="s">
        <v>125</v>
      </c>
      <c r="I232" t="s">
        <v>113</v>
      </c>
      <c r="J232" t="s">
        <v>42</v>
      </c>
      <c r="K232" t="s">
        <v>163</v>
      </c>
      <c r="L232">
        <v>28205</v>
      </c>
      <c r="M232" t="s">
        <v>115</v>
      </c>
      <c r="N232" t="s">
        <v>726</v>
      </c>
      <c r="O232" t="s">
        <v>117</v>
      </c>
      <c r="P232" t="s">
        <v>129</v>
      </c>
      <c r="Q232" t="s">
        <v>130</v>
      </c>
      <c r="R232">
        <v>18.648</v>
      </c>
      <c r="S232">
        <v>7</v>
      </c>
      <c r="T232" s="11">
        <f t="shared" si="9"/>
        <v>0.05</v>
      </c>
      <c r="U232" s="6">
        <v>39.160800000000002</v>
      </c>
      <c r="V232" s="11">
        <f t="shared" si="10"/>
        <v>0.93240000000000001</v>
      </c>
      <c r="W232" s="9">
        <f t="shared" si="11"/>
        <v>2.1</v>
      </c>
    </row>
    <row r="233" spans="1:23" hidden="1">
      <c r="A233">
        <v>232</v>
      </c>
      <c r="B233" t="s">
        <v>727</v>
      </c>
      <c r="C233" s="5">
        <v>42832</v>
      </c>
      <c r="D233" s="5">
        <v>42837</v>
      </c>
      <c r="E233" t="s">
        <v>132</v>
      </c>
      <c r="F233" t="s">
        <v>361</v>
      </c>
      <c r="G233" t="s">
        <v>362</v>
      </c>
      <c r="H233" t="s">
        <v>173</v>
      </c>
      <c r="I233" t="s">
        <v>113</v>
      </c>
      <c r="J233" t="s">
        <v>82</v>
      </c>
      <c r="K233" t="s">
        <v>6</v>
      </c>
      <c r="L233">
        <v>33614</v>
      </c>
      <c r="M233" t="s">
        <v>115</v>
      </c>
      <c r="N233" t="s">
        <v>728</v>
      </c>
      <c r="O233" t="s">
        <v>117</v>
      </c>
      <c r="P233" t="s">
        <v>35</v>
      </c>
      <c r="Q233" t="s">
        <v>136</v>
      </c>
      <c r="R233">
        <v>233.86</v>
      </c>
      <c r="S233">
        <v>2</v>
      </c>
      <c r="T233" s="11">
        <f t="shared" si="9"/>
        <v>0</v>
      </c>
      <c r="U233" s="6">
        <v>140.316</v>
      </c>
      <c r="V233" s="11">
        <f t="shared" si="10"/>
        <v>0</v>
      </c>
      <c r="W233" s="9">
        <f t="shared" si="11"/>
        <v>0.6</v>
      </c>
    </row>
    <row r="234" spans="1:23" hidden="1">
      <c r="A234">
        <v>233</v>
      </c>
      <c r="B234" t="s">
        <v>727</v>
      </c>
      <c r="C234" s="5">
        <v>42832</v>
      </c>
      <c r="D234" s="5">
        <v>42837</v>
      </c>
      <c r="E234" t="s">
        <v>132</v>
      </c>
      <c r="F234" t="s">
        <v>361</v>
      </c>
      <c r="G234" t="s">
        <v>362</v>
      </c>
      <c r="H234" t="s">
        <v>173</v>
      </c>
      <c r="I234" t="s">
        <v>113</v>
      </c>
      <c r="J234" t="s">
        <v>82</v>
      </c>
      <c r="K234" t="s">
        <v>6</v>
      </c>
      <c r="L234">
        <v>33614</v>
      </c>
      <c r="M234" t="s">
        <v>115</v>
      </c>
      <c r="N234" t="s">
        <v>729</v>
      </c>
      <c r="O234" t="s">
        <v>117</v>
      </c>
      <c r="P234" t="s">
        <v>138</v>
      </c>
      <c r="Q234" t="s">
        <v>139</v>
      </c>
      <c r="R234">
        <v>620.61450000000013</v>
      </c>
      <c r="S234">
        <v>3</v>
      </c>
      <c r="T234" s="11">
        <f t="shared" si="9"/>
        <v>0</v>
      </c>
      <c r="U234" s="6">
        <v>558.5530500000001</v>
      </c>
      <c r="V234" s="11">
        <f t="shared" si="10"/>
        <v>0</v>
      </c>
      <c r="W234" s="9">
        <f t="shared" si="11"/>
        <v>0.89999999999999991</v>
      </c>
    </row>
    <row r="235" spans="1:23" hidden="1">
      <c r="A235">
        <v>234</v>
      </c>
      <c r="B235" t="s">
        <v>727</v>
      </c>
      <c r="C235" s="5">
        <v>42832</v>
      </c>
      <c r="D235" s="5">
        <v>42837</v>
      </c>
      <c r="E235" t="s">
        <v>132</v>
      </c>
      <c r="F235" t="s">
        <v>361</v>
      </c>
      <c r="G235" t="s">
        <v>362</v>
      </c>
      <c r="H235" t="s">
        <v>173</v>
      </c>
      <c r="I235" t="s">
        <v>113</v>
      </c>
      <c r="J235" t="s">
        <v>82</v>
      </c>
      <c r="K235" t="s">
        <v>6</v>
      </c>
      <c r="L235">
        <v>33614</v>
      </c>
      <c r="M235" t="s">
        <v>115</v>
      </c>
      <c r="N235" t="s">
        <v>726</v>
      </c>
      <c r="O235" t="s">
        <v>117</v>
      </c>
      <c r="P235" t="s">
        <v>144</v>
      </c>
      <c r="Q235" t="s">
        <v>145</v>
      </c>
      <c r="R235">
        <v>5.3280000000000012</v>
      </c>
      <c r="S235">
        <v>2</v>
      </c>
      <c r="T235" s="11">
        <f t="shared" si="9"/>
        <v>0</v>
      </c>
      <c r="U235" s="6">
        <v>3.1968000000000005</v>
      </c>
      <c r="V235" s="11">
        <f t="shared" si="10"/>
        <v>0</v>
      </c>
      <c r="W235" s="9">
        <f t="shared" si="11"/>
        <v>0.6</v>
      </c>
    </row>
    <row r="236" spans="1:23" hidden="1">
      <c r="A236">
        <v>235</v>
      </c>
      <c r="B236" t="s">
        <v>727</v>
      </c>
      <c r="C236" s="5">
        <v>42832</v>
      </c>
      <c r="D236" s="5">
        <v>42837</v>
      </c>
      <c r="E236" t="s">
        <v>132</v>
      </c>
      <c r="F236" t="s">
        <v>361</v>
      </c>
      <c r="G236" t="s">
        <v>362</v>
      </c>
      <c r="H236" t="s">
        <v>173</v>
      </c>
      <c r="I236" t="s">
        <v>113</v>
      </c>
      <c r="J236" t="s">
        <v>82</v>
      </c>
      <c r="K236" t="s">
        <v>6</v>
      </c>
      <c r="L236">
        <v>33614</v>
      </c>
      <c r="M236" t="s">
        <v>115</v>
      </c>
      <c r="N236" t="s">
        <v>730</v>
      </c>
      <c r="O236" t="s">
        <v>117</v>
      </c>
      <c r="P236" t="s">
        <v>35</v>
      </c>
      <c r="Q236" t="s">
        <v>147</v>
      </c>
      <c r="R236">
        <v>258.072</v>
      </c>
      <c r="S236">
        <v>3</v>
      </c>
      <c r="T236" s="11">
        <f t="shared" si="9"/>
        <v>0</v>
      </c>
      <c r="U236" s="6">
        <v>232.26479999999998</v>
      </c>
      <c r="V236" s="11">
        <f t="shared" si="10"/>
        <v>0</v>
      </c>
      <c r="W236" s="9">
        <f t="shared" si="11"/>
        <v>0.89999999999999991</v>
      </c>
    </row>
    <row r="237" spans="1:23" hidden="1">
      <c r="A237">
        <v>236</v>
      </c>
      <c r="B237" t="s">
        <v>727</v>
      </c>
      <c r="C237" s="5">
        <v>42832</v>
      </c>
      <c r="D237" s="5">
        <v>42837</v>
      </c>
      <c r="E237" t="s">
        <v>132</v>
      </c>
      <c r="F237" t="s">
        <v>361</v>
      </c>
      <c r="G237" t="s">
        <v>362</v>
      </c>
      <c r="H237" t="s">
        <v>173</v>
      </c>
      <c r="I237" t="s">
        <v>113</v>
      </c>
      <c r="J237" t="s">
        <v>82</v>
      </c>
      <c r="K237" t="s">
        <v>6</v>
      </c>
      <c r="L237">
        <v>33614</v>
      </c>
      <c r="M237" t="s">
        <v>115</v>
      </c>
      <c r="N237" t="s">
        <v>731</v>
      </c>
      <c r="O237" t="s">
        <v>117</v>
      </c>
      <c r="P237" t="s">
        <v>35</v>
      </c>
      <c r="Q237" t="s">
        <v>149</v>
      </c>
      <c r="R237">
        <v>617.97600000000011</v>
      </c>
      <c r="S237">
        <v>3</v>
      </c>
      <c r="T237" s="11">
        <f t="shared" si="9"/>
        <v>0</v>
      </c>
      <c r="U237" s="6">
        <v>556.17840000000012</v>
      </c>
      <c r="V237" s="11">
        <f t="shared" si="10"/>
        <v>0</v>
      </c>
      <c r="W237" s="9">
        <f t="shared" si="11"/>
        <v>0.9</v>
      </c>
    </row>
    <row r="238" spans="1:23" hidden="1">
      <c r="A238">
        <v>237</v>
      </c>
      <c r="B238" t="s">
        <v>732</v>
      </c>
      <c r="C238" s="5">
        <v>43051</v>
      </c>
      <c r="D238" s="5">
        <v>43055</v>
      </c>
      <c r="E238" t="s">
        <v>132</v>
      </c>
      <c r="F238" t="s">
        <v>733</v>
      </c>
      <c r="G238" t="s">
        <v>734</v>
      </c>
      <c r="H238" t="s">
        <v>125</v>
      </c>
      <c r="I238" t="s">
        <v>113</v>
      </c>
      <c r="J238" t="s">
        <v>735</v>
      </c>
      <c r="K238" t="s">
        <v>126</v>
      </c>
      <c r="L238">
        <v>95051</v>
      </c>
      <c r="M238" t="s">
        <v>127</v>
      </c>
      <c r="N238" t="s">
        <v>736</v>
      </c>
      <c r="O238" t="s">
        <v>117</v>
      </c>
      <c r="P238" t="s">
        <v>129</v>
      </c>
      <c r="Q238" t="s">
        <v>151</v>
      </c>
      <c r="R238">
        <v>10.56</v>
      </c>
      <c r="S238">
        <v>2</v>
      </c>
      <c r="T238" s="11">
        <f t="shared" si="9"/>
        <v>0</v>
      </c>
      <c r="U238" s="6">
        <v>6.3360000000000003</v>
      </c>
      <c r="V238" s="11">
        <f t="shared" si="10"/>
        <v>0</v>
      </c>
      <c r="W238" s="9">
        <f t="shared" si="11"/>
        <v>0.6</v>
      </c>
    </row>
    <row r="239" spans="1:23" hidden="1">
      <c r="A239">
        <v>238</v>
      </c>
      <c r="B239" t="s">
        <v>737</v>
      </c>
      <c r="C239" s="5">
        <v>42525</v>
      </c>
      <c r="D239" s="5">
        <v>42530</v>
      </c>
      <c r="E239" t="s">
        <v>109</v>
      </c>
      <c r="F239" t="s">
        <v>738</v>
      </c>
      <c r="G239" t="s">
        <v>739</v>
      </c>
      <c r="H239" t="s">
        <v>112</v>
      </c>
      <c r="I239" t="s">
        <v>113</v>
      </c>
      <c r="J239" t="s">
        <v>43</v>
      </c>
      <c r="K239" t="s">
        <v>247</v>
      </c>
      <c r="L239">
        <v>60610</v>
      </c>
      <c r="M239" t="s">
        <v>174</v>
      </c>
      <c r="N239" t="s">
        <v>740</v>
      </c>
      <c r="O239" t="s">
        <v>117</v>
      </c>
      <c r="P239" t="s">
        <v>153</v>
      </c>
      <c r="Q239" t="s">
        <v>154</v>
      </c>
      <c r="R239">
        <v>25.920000000000009</v>
      </c>
      <c r="S239">
        <v>5</v>
      </c>
      <c r="T239" s="11">
        <f t="shared" si="9"/>
        <v>0.05</v>
      </c>
      <c r="U239" s="6">
        <v>38.880000000000017</v>
      </c>
      <c r="V239" s="11">
        <f t="shared" si="10"/>
        <v>1.2960000000000005</v>
      </c>
      <c r="W239" s="9">
        <f t="shared" si="11"/>
        <v>1.5000000000000002</v>
      </c>
    </row>
    <row r="240" spans="1:23" hidden="1">
      <c r="A240">
        <v>239</v>
      </c>
      <c r="B240" t="s">
        <v>737</v>
      </c>
      <c r="C240" s="5">
        <v>42525</v>
      </c>
      <c r="D240" s="5">
        <v>42530</v>
      </c>
      <c r="E240" t="s">
        <v>109</v>
      </c>
      <c r="F240" t="s">
        <v>738</v>
      </c>
      <c r="G240" t="s">
        <v>739</v>
      </c>
      <c r="H240" t="s">
        <v>112</v>
      </c>
      <c r="I240" t="s">
        <v>113</v>
      </c>
      <c r="J240" t="s">
        <v>43</v>
      </c>
      <c r="K240" t="s">
        <v>247</v>
      </c>
      <c r="L240">
        <v>60610</v>
      </c>
      <c r="M240" t="s">
        <v>174</v>
      </c>
      <c r="N240" t="s">
        <v>741</v>
      </c>
      <c r="O240" t="s">
        <v>117</v>
      </c>
      <c r="P240" t="s">
        <v>144</v>
      </c>
      <c r="Q240" t="s">
        <v>156</v>
      </c>
      <c r="R240">
        <v>419.68000000000012</v>
      </c>
      <c r="S240">
        <v>5</v>
      </c>
      <c r="T240" s="11">
        <f t="shared" si="9"/>
        <v>0.05</v>
      </c>
      <c r="U240" s="6">
        <v>629.5200000000001</v>
      </c>
      <c r="V240" s="11">
        <f t="shared" si="10"/>
        <v>20.984000000000009</v>
      </c>
      <c r="W240" s="9">
        <f t="shared" si="11"/>
        <v>1.4999999999999998</v>
      </c>
    </row>
    <row r="241" spans="1:23" hidden="1">
      <c r="A241">
        <v>240</v>
      </c>
      <c r="B241" t="s">
        <v>737</v>
      </c>
      <c r="C241" s="5">
        <v>42525</v>
      </c>
      <c r="D241" s="5">
        <v>42530</v>
      </c>
      <c r="E241" t="s">
        <v>109</v>
      </c>
      <c r="F241" t="s">
        <v>738</v>
      </c>
      <c r="G241" t="s">
        <v>739</v>
      </c>
      <c r="H241" t="s">
        <v>112</v>
      </c>
      <c r="I241" t="s">
        <v>113</v>
      </c>
      <c r="J241" t="s">
        <v>43</v>
      </c>
      <c r="K241" t="s">
        <v>247</v>
      </c>
      <c r="L241">
        <v>60610</v>
      </c>
      <c r="M241" t="s">
        <v>174</v>
      </c>
      <c r="N241" t="s">
        <v>742</v>
      </c>
      <c r="O241" t="s">
        <v>117</v>
      </c>
      <c r="P241" t="s">
        <v>158</v>
      </c>
      <c r="Q241" t="s">
        <v>159</v>
      </c>
      <c r="R241">
        <v>11.688000000000001</v>
      </c>
      <c r="S241">
        <v>3</v>
      </c>
      <c r="T241" s="11">
        <f t="shared" si="9"/>
        <v>0</v>
      </c>
      <c r="U241" s="6">
        <v>10.5192</v>
      </c>
      <c r="V241" s="11">
        <f t="shared" si="10"/>
        <v>0</v>
      </c>
      <c r="W241" s="9">
        <f t="shared" si="11"/>
        <v>0.89999999999999991</v>
      </c>
    </row>
    <row r="242" spans="1:23" hidden="1">
      <c r="A242">
        <v>241</v>
      </c>
      <c r="B242" t="s">
        <v>737</v>
      </c>
      <c r="C242" s="5">
        <v>42525</v>
      </c>
      <c r="D242" s="5">
        <v>42530</v>
      </c>
      <c r="E242" t="s">
        <v>109</v>
      </c>
      <c r="F242" t="s">
        <v>738</v>
      </c>
      <c r="G242" t="s">
        <v>739</v>
      </c>
      <c r="H242" t="s">
        <v>112</v>
      </c>
      <c r="I242" t="s">
        <v>113</v>
      </c>
      <c r="J242" t="s">
        <v>43</v>
      </c>
      <c r="K242" t="s">
        <v>247</v>
      </c>
      <c r="L242">
        <v>60610</v>
      </c>
      <c r="M242" t="s">
        <v>174</v>
      </c>
      <c r="N242" t="s">
        <v>743</v>
      </c>
      <c r="O242" t="s">
        <v>117</v>
      </c>
      <c r="P242" t="s">
        <v>35</v>
      </c>
      <c r="Q242" t="s">
        <v>118</v>
      </c>
      <c r="R242">
        <v>31.984000000000002</v>
      </c>
      <c r="S242">
        <v>2</v>
      </c>
      <c r="T242" s="11">
        <f t="shared" si="9"/>
        <v>0</v>
      </c>
      <c r="U242" s="6">
        <v>19.1904</v>
      </c>
      <c r="V242" s="11">
        <f t="shared" si="10"/>
        <v>0</v>
      </c>
      <c r="W242" s="9">
        <f t="shared" si="11"/>
        <v>0.6</v>
      </c>
    </row>
    <row r="243" spans="1:23" hidden="1">
      <c r="A243">
        <v>242</v>
      </c>
      <c r="B243" t="s">
        <v>737</v>
      </c>
      <c r="C243" s="5">
        <v>42525</v>
      </c>
      <c r="D243" s="5">
        <v>42530</v>
      </c>
      <c r="E243" t="s">
        <v>109</v>
      </c>
      <c r="F243" t="s">
        <v>738</v>
      </c>
      <c r="G243" t="s">
        <v>739</v>
      </c>
      <c r="H243" t="s">
        <v>112</v>
      </c>
      <c r="I243" t="s">
        <v>113</v>
      </c>
      <c r="J243" t="s">
        <v>43</v>
      </c>
      <c r="K243" t="s">
        <v>247</v>
      </c>
      <c r="L243">
        <v>60610</v>
      </c>
      <c r="M243" t="s">
        <v>174</v>
      </c>
      <c r="N243" t="s">
        <v>744</v>
      </c>
      <c r="O243" t="s">
        <v>117</v>
      </c>
      <c r="P243" t="s">
        <v>120</v>
      </c>
      <c r="Q243" t="s">
        <v>121</v>
      </c>
      <c r="R243">
        <v>177.22499999999999</v>
      </c>
      <c r="S243">
        <v>5</v>
      </c>
      <c r="T243" s="11">
        <f t="shared" si="9"/>
        <v>0.05</v>
      </c>
      <c r="U243" s="6">
        <v>265.83749999999998</v>
      </c>
      <c r="V243" s="11">
        <f t="shared" si="10"/>
        <v>8.8612500000000001</v>
      </c>
      <c r="W243" s="9">
        <f t="shared" si="11"/>
        <v>1.5</v>
      </c>
    </row>
    <row r="244" spans="1:23" hidden="1">
      <c r="A244">
        <v>243</v>
      </c>
      <c r="B244" t="s">
        <v>737</v>
      </c>
      <c r="C244" s="5">
        <v>42525</v>
      </c>
      <c r="D244" s="5">
        <v>42530</v>
      </c>
      <c r="E244" t="s">
        <v>109</v>
      </c>
      <c r="F244" t="s">
        <v>738</v>
      </c>
      <c r="G244" t="s">
        <v>739</v>
      </c>
      <c r="H244" t="s">
        <v>112</v>
      </c>
      <c r="I244" t="s">
        <v>113</v>
      </c>
      <c r="J244" t="s">
        <v>43</v>
      </c>
      <c r="K244" t="s">
        <v>247</v>
      </c>
      <c r="L244">
        <v>60610</v>
      </c>
      <c r="M244" t="s">
        <v>174</v>
      </c>
      <c r="N244" t="s">
        <v>745</v>
      </c>
      <c r="O244" t="s">
        <v>117</v>
      </c>
      <c r="P244" t="s">
        <v>129</v>
      </c>
      <c r="Q244" t="s">
        <v>130</v>
      </c>
      <c r="R244">
        <v>4.0439999999999996</v>
      </c>
      <c r="S244">
        <v>3</v>
      </c>
      <c r="T244" s="11">
        <f t="shared" si="9"/>
        <v>0</v>
      </c>
      <c r="U244" s="6">
        <v>3.6395999999999993</v>
      </c>
      <c r="V244" s="11">
        <f t="shared" si="10"/>
        <v>0</v>
      </c>
      <c r="W244" s="9">
        <f t="shared" si="11"/>
        <v>0.89999999999999991</v>
      </c>
    </row>
    <row r="245" spans="1:23" hidden="1">
      <c r="A245">
        <v>245</v>
      </c>
      <c r="B245" t="s">
        <v>746</v>
      </c>
      <c r="C245" s="5">
        <v>41791</v>
      </c>
      <c r="D245" s="5">
        <v>41796</v>
      </c>
      <c r="E245" t="s">
        <v>109</v>
      </c>
      <c r="F245" t="s">
        <v>747</v>
      </c>
      <c r="G245" t="s">
        <v>748</v>
      </c>
      <c r="H245" t="s">
        <v>173</v>
      </c>
      <c r="I245" t="s">
        <v>113</v>
      </c>
      <c r="J245" t="s">
        <v>32</v>
      </c>
      <c r="K245" t="s">
        <v>261</v>
      </c>
      <c r="L245">
        <v>55044</v>
      </c>
      <c r="M245" t="s">
        <v>174</v>
      </c>
      <c r="N245" t="s">
        <v>471</v>
      </c>
      <c r="O245" t="s">
        <v>117</v>
      </c>
      <c r="P245" t="s">
        <v>35</v>
      </c>
      <c r="Q245" t="s">
        <v>136</v>
      </c>
      <c r="R245">
        <v>2001.86</v>
      </c>
      <c r="S245">
        <v>7</v>
      </c>
      <c r="T245" s="11">
        <f t="shared" si="9"/>
        <v>0.05</v>
      </c>
      <c r="U245" s="6">
        <v>4203.905999999999</v>
      </c>
      <c r="V245" s="11">
        <f t="shared" si="10"/>
        <v>100.093</v>
      </c>
      <c r="W245" s="9">
        <f t="shared" si="11"/>
        <v>2.0999999999999996</v>
      </c>
    </row>
    <row r="246" spans="1:23" hidden="1">
      <c r="A246">
        <v>246</v>
      </c>
      <c r="B246" t="s">
        <v>746</v>
      </c>
      <c r="C246" s="5">
        <v>41791</v>
      </c>
      <c r="D246" s="5">
        <v>41796</v>
      </c>
      <c r="E246" t="s">
        <v>109</v>
      </c>
      <c r="F246" t="s">
        <v>747</v>
      </c>
      <c r="G246" t="s">
        <v>748</v>
      </c>
      <c r="H246" t="s">
        <v>173</v>
      </c>
      <c r="I246" t="s">
        <v>113</v>
      </c>
      <c r="J246" t="s">
        <v>32</v>
      </c>
      <c r="K246" t="s">
        <v>261</v>
      </c>
      <c r="L246">
        <v>55044</v>
      </c>
      <c r="M246" t="s">
        <v>174</v>
      </c>
      <c r="N246" t="s">
        <v>749</v>
      </c>
      <c r="O246" t="s">
        <v>117</v>
      </c>
      <c r="P246" t="s">
        <v>138</v>
      </c>
      <c r="Q246" t="s">
        <v>139</v>
      </c>
      <c r="R246">
        <v>166.72</v>
      </c>
      <c r="S246">
        <v>2</v>
      </c>
      <c r="T246" s="11">
        <f t="shared" si="9"/>
        <v>0</v>
      </c>
      <c r="U246" s="6">
        <v>100.032</v>
      </c>
      <c r="V246" s="11">
        <f t="shared" si="10"/>
        <v>0</v>
      </c>
      <c r="W246" s="9">
        <f t="shared" si="11"/>
        <v>0.6</v>
      </c>
    </row>
    <row r="247" spans="1:23" hidden="1">
      <c r="A247">
        <v>247</v>
      </c>
      <c r="B247" t="s">
        <v>746</v>
      </c>
      <c r="C247" s="5">
        <v>41791</v>
      </c>
      <c r="D247" s="5">
        <v>41796</v>
      </c>
      <c r="E247" t="s">
        <v>109</v>
      </c>
      <c r="F247" t="s">
        <v>747</v>
      </c>
      <c r="G247" t="s">
        <v>748</v>
      </c>
      <c r="H247" t="s">
        <v>173</v>
      </c>
      <c r="I247" t="s">
        <v>113</v>
      </c>
      <c r="J247" t="s">
        <v>32</v>
      </c>
      <c r="K247" t="s">
        <v>261</v>
      </c>
      <c r="L247">
        <v>55044</v>
      </c>
      <c r="M247" t="s">
        <v>174</v>
      </c>
      <c r="N247" t="s">
        <v>750</v>
      </c>
      <c r="O247" t="s">
        <v>117</v>
      </c>
      <c r="P247" t="s">
        <v>144</v>
      </c>
      <c r="Q247" t="s">
        <v>145</v>
      </c>
      <c r="R247">
        <v>47.88</v>
      </c>
      <c r="S247">
        <v>6</v>
      </c>
      <c r="T247" s="11">
        <f t="shared" si="9"/>
        <v>0.05</v>
      </c>
      <c r="U247" s="6">
        <v>86.184000000000012</v>
      </c>
      <c r="V247" s="11">
        <f t="shared" si="10"/>
        <v>2.3940000000000001</v>
      </c>
      <c r="W247" s="9">
        <f t="shared" si="11"/>
        <v>1.8</v>
      </c>
    </row>
    <row r="248" spans="1:23" hidden="1">
      <c r="A248">
        <v>248</v>
      </c>
      <c r="B248" t="s">
        <v>746</v>
      </c>
      <c r="C248" s="5">
        <v>41791</v>
      </c>
      <c r="D248" s="5">
        <v>41796</v>
      </c>
      <c r="E248" t="s">
        <v>109</v>
      </c>
      <c r="F248" t="s">
        <v>747</v>
      </c>
      <c r="G248" t="s">
        <v>748</v>
      </c>
      <c r="H248" t="s">
        <v>173</v>
      </c>
      <c r="I248" t="s">
        <v>113</v>
      </c>
      <c r="J248" t="s">
        <v>32</v>
      </c>
      <c r="K248" t="s">
        <v>261</v>
      </c>
      <c r="L248">
        <v>55044</v>
      </c>
      <c r="M248" t="s">
        <v>174</v>
      </c>
      <c r="N248" t="s">
        <v>751</v>
      </c>
      <c r="O248" t="s">
        <v>117</v>
      </c>
      <c r="P248" t="s">
        <v>35</v>
      </c>
      <c r="Q248" t="s">
        <v>147</v>
      </c>
      <c r="R248">
        <v>1503.25</v>
      </c>
      <c r="S248">
        <v>5</v>
      </c>
      <c r="T248" s="11">
        <f t="shared" si="9"/>
        <v>0.05</v>
      </c>
      <c r="U248" s="6">
        <v>2254.875</v>
      </c>
      <c r="V248" s="11">
        <f t="shared" si="10"/>
        <v>75.162500000000009</v>
      </c>
      <c r="W248" s="9">
        <f t="shared" si="11"/>
        <v>1.5</v>
      </c>
    </row>
    <row r="249" spans="1:23" hidden="1">
      <c r="A249">
        <v>249</v>
      </c>
      <c r="B249" t="s">
        <v>746</v>
      </c>
      <c r="C249" s="5">
        <v>41791</v>
      </c>
      <c r="D249" s="5">
        <v>41796</v>
      </c>
      <c r="E249" t="s">
        <v>109</v>
      </c>
      <c r="F249" t="s">
        <v>747</v>
      </c>
      <c r="G249" t="s">
        <v>748</v>
      </c>
      <c r="H249" t="s">
        <v>173</v>
      </c>
      <c r="I249" t="s">
        <v>113</v>
      </c>
      <c r="J249" t="s">
        <v>32</v>
      </c>
      <c r="K249" t="s">
        <v>261</v>
      </c>
      <c r="L249">
        <v>55044</v>
      </c>
      <c r="M249" t="s">
        <v>174</v>
      </c>
      <c r="N249" t="s">
        <v>635</v>
      </c>
      <c r="O249" t="s">
        <v>117</v>
      </c>
      <c r="P249" t="s">
        <v>35</v>
      </c>
      <c r="Q249" t="s">
        <v>149</v>
      </c>
      <c r="R249">
        <v>25.92</v>
      </c>
      <c r="S249">
        <v>4</v>
      </c>
      <c r="T249" s="11">
        <f t="shared" si="9"/>
        <v>0</v>
      </c>
      <c r="U249" s="6">
        <v>31.103999999999999</v>
      </c>
      <c r="V249" s="11">
        <f t="shared" si="10"/>
        <v>0</v>
      </c>
      <c r="W249" s="9">
        <f t="shared" si="11"/>
        <v>1.2</v>
      </c>
    </row>
    <row r="250" spans="1:23" hidden="1">
      <c r="A250">
        <v>250</v>
      </c>
      <c r="B250" t="s">
        <v>752</v>
      </c>
      <c r="C250" s="5">
        <v>42714</v>
      </c>
      <c r="D250" s="5">
        <v>42719</v>
      </c>
      <c r="E250" t="s">
        <v>109</v>
      </c>
      <c r="F250" t="s">
        <v>753</v>
      </c>
      <c r="G250" t="s">
        <v>754</v>
      </c>
      <c r="H250" t="s">
        <v>112</v>
      </c>
      <c r="I250" t="s">
        <v>113</v>
      </c>
      <c r="J250" t="s">
        <v>79</v>
      </c>
      <c r="K250" t="s">
        <v>126</v>
      </c>
      <c r="L250">
        <v>94109</v>
      </c>
      <c r="M250" t="s">
        <v>127</v>
      </c>
      <c r="N250" t="s">
        <v>755</v>
      </c>
      <c r="O250" t="s">
        <v>117</v>
      </c>
      <c r="P250" t="s">
        <v>129</v>
      </c>
      <c r="Q250" t="s">
        <v>151</v>
      </c>
      <c r="R250">
        <v>321.56799999999998</v>
      </c>
      <c r="S250">
        <v>2</v>
      </c>
      <c r="T250" s="11">
        <f t="shared" si="9"/>
        <v>0</v>
      </c>
      <c r="U250" s="6">
        <v>192.9408</v>
      </c>
      <c r="V250" s="11">
        <f t="shared" si="10"/>
        <v>0</v>
      </c>
      <c r="W250" s="9">
        <f t="shared" si="11"/>
        <v>0.6</v>
      </c>
    </row>
    <row r="251" spans="1:23" hidden="1">
      <c r="A251">
        <v>251</v>
      </c>
      <c r="B251" t="s">
        <v>756</v>
      </c>
      <c r="C251" s="5">
        <v>42624</v>
      </c>
      <c r="D251" s="5">
        <v>42630</v>
      </c>
      <c r="E251" t="s">
        <v>132</v>
      </c>
      <c r="F251" t="s">
        <v>757</v>
      </c>
      <c r="G251" t="s">
        <v>758</v>
      </c>
      <c r="H251" t="s">
        <v>112</v>
      </c>
      <c r="I251" t="s">
        <v>113</v>
      </c>
      <c r="J251" t="s">
        <v>759</v>
      </c>
      <c r="K251" t="s">
        <v>126</v>
      </c>
      <c r="L251">
        <v>92037</v>
      </c>
      <c r="M251" t="s">
        <v>127</v>
      </c>
      <c r="N251" t="s">
        <v>760</v>
      </c>
      <c r="O251" t="s">
        <v>117</v>
      </c>
      <c r="P251" t="s">
        <v>153</v>
      </c>
      <c r="Q251" t="s">
        <v>154</v>
      </c>
      <c r="R251">
        <v>7.61</v>
      </c>
      <c r="S251">
        <v>1</v>
      </c>
      <c r="T251" s="11">
        <f t="shared" si="9"/>
        <v>0</v>
      </c>
      <c r="U251" s="6">
        <v>2.2829999999999999</v>
      </c>
      <c r="V251" s="11">
        <f t="shared" si="10"/>
        <v>0</v>
      </c>
      <c r="W251" s="9">
        <f t="shared" si="11"/>
        <v>0.3</v>
      </c>
    </row>
    <row r="252" spans="1:23" hidden="1">
      <c r="A252">
        <v>252</v>
      </c>
      <c r="B252" t="s">
        <v>756</v>
      </c>
      <c r="C252" s="5">
        <v>42624</v>
      </c>
      <c r="D252" s="5">
        <v>42630</v>
      </c>
      <c r="E252" t="s">
        <v>132</v>
      </c>
      <c r="F252" t="s">
        <v>757</v>
      </c>
      <c r="G252" t="s">
        <v>758</v>
      </c>
      <c r="H252" t="s">
        <v>112</v>
      </c>
      <c r="I252" t="s">
        <v>113</v>
      </c>
      <c r="J252" t="s">
        <v>759</v>
      </c>
      <c r="K252" t="s">
        <v>126</v>
      </c>
      <c r="L252">
        <v>92037</v>
      </c>
      <c r="M252" t="s">
        <v>127</v>
      </c>
      <c r="N252" t="s">
        <v>731</v>
      </c>
      <c r="O252" t="s">
        <v>117</v>
      </c>
      <c r="P252" t="s">
        <v>144</v>
      </c>
      <c r="Q252" t="s">
        <v>156</v>
      </c>
      <c r="R252">
        <v>3347.37</v>
      </c>
      <c r="S252">
        <v>13</v>
      </c>
      <c r="T252" s="11">
        <f t="shared" si="9"/>
        <v>7.4999999999999997E-2</v>
      </c>
      <c r="U252" s="6">
        <v>13054.742999999999</v>
      </c>
      <c r="V252" s="11">
        <f t="shared" si="10"/>
        <v>251.05274999999997</v>
      </c>
      <c r="W252" s="9">
        <f t="shared" si="11"/>
        <v>3.9</v>
      </c>
    </row>
    <row r="253" spans="1:23" hidden="1">
      <c r="A253">
        <v>253</v>
      </c>
      <c r="B253" t="s">
        <v>761</v>
      </c>
      <c r="C253" s="5">
        <v>42714</v>
      </c>
      <c r="D253" s="5">
        <v>42717</v>
      </c>
      <c r="E253" t="s">
        <v>231</v>
      </c>
      <c r="F253" t="s">
        <v>762</v>
      </c>
      <c r="G253" t="s">
        <v>763</v>
      </c>
      <c r="H253" t="s">
        <v>112</v>
      </c>
      <c r="I253" t="s">
        <v>113</v>
      </c>
      <c r="J253" t="s">
        <v>69</v>
      </c>
      <c r="K253" t="s">
        <v>287</v>
      </c>
      <c r="L253">
        <v>10024</v>
      </c>
      <c r="M253" t="s">
        <v>206</v>
      </c>
      <c r="N253" t="s">
        <v>764</v>
      </c>
      <c r="O253" t="s">
        <v>117</v>
      </c>
      <c r="P253" t="s">
        <v>158</v>
      </c>
      <c r="Q253" t="s">
        <v>159</v>
      </c>
      <c r="R253">
        <v>80.58</v>
      </c>
      <c r="S253">
        <v>6</v>
      </c>
      <c r="T253" s="11">
        <f t="shared" si="9"/>
        <v>0.05</v>
      </c>
      <c r="U253" s="6">
        <v>145.04400000000001</v>
      </c>
      <c r="V253" s="11">
        <f t="shared" si="10"/>
        <v>4.0289999999999999</v>
      </c>
      <c r="W253" s="9">
        <f t="shared" si="11"/>
        <v>1.8000000000000003</v>
      </c>
    </row>
    <row r="254" spans="1:23" hidden="1">
      <c r="A254">
        <v>254</v>
      </c>
      <c r="B254" t="s">
        <v>761</v>
      </c>
      <c r="C254" s="5">
        <v>42714</v>
      </c>
      <c r="D254" s="5">
        <v>42717</v>
      </c>
      <c r="E254" t="s">
        <v>231</v>
      </c>
      <c r="F254" t="s">
        <v>762</v>
      </c>
      <c r="G254" t="s">
        <v>763</v>
      </c>
      <c r="H254" t="s">
        <v>112</v>
      </c>
      <c r="I254" t="s">
        <v>113</v>
      </c>
      <c r="J254" t="s">
        <v>69</v>
      </c>
      <c r="K254" t="s">
        <v>287</v>
      </c>
      <c r="L254">
        <v>10024</v>
      </c>
      <c r="M254" t="s">
        <v>206</v>
      </c>
      <c r="N254" t="s">
        <v>765</v>
      </c>
      <c r="O254" t="s">
        <v>117</v>
      </c>
      <c r="P254" t="s">
        <v>35</v>
      </c>
      <c r="Q254" t="s">
        <v>118</v>
      </c>
      <c r="R254">
        <v>361.92</v>
      </c>
      <c r="S254">
        <v>4</v>
      </c>
      <c r="T254" s="11">
        <f t="shared" si="9"/>
        <v>0</v>
      </c>
      <c r="U254" s="6">
        <v>434.30400000000003</v>
      </c>
      <c r="V254" s="11">
        <f t="shared" si="10"/>
        <v>0</v>
      </c>
      <c r="W254" s="9">
        <f t="shared" si="11"/>
        <v>1.2</v>
      </c>
    </row>
    <row r="255" spans="1:23" hidden="1">
      <c r="A255">
        <v>255</v>
      </c>
      <c r="B255" t="s">
        <v>766</v>
      </c>
      <c r="C255" s="5">
        <v>42336</v>
      </c>
      <c r="D255" s="5">
        <v>42342</v>
      </c>
      <c r="E255" t="s">
        <v>132</v>
      </c>
      <c r="F255" t="s">
        <v>767</v>
      </c>
      <c r="G255" t="s">
        <v>768</v>
      </c>
      <c r="H255" t="s">
        <v>125</v>
      </c>
      <c r="I255" t="s">
        <v>113</v>
      </c>
      <c r="J255" t="s">
        <v>43</v>
      </c>
      <c r="K255" t="s">
        <v>247</v>
      </c>
      <c r="L255">
        <v>60623</v>
      </c>
      <c r="M255" t="s">
        <v>174</v>
      </c>
      <c r="N255" t="s">
        <v>745</v>
      </c>
      <c r="O255" t="s">
        <v>117</v>
      </c>
      <c r="P255" t="s">
        <v>120</v>
      </c>
      <c r="Q255" t="s">
        <v>121</v>
      </c>
      <c r="R255">
        <v>12.132</v>
      </c>
      <c r="S255">
        <v>9</v>
      </c>
      <c r="T255" s="11">
        <f t="shared" si="9"/>
        <v>0.05</v>
      </c>
      <c r="U255" s="6">
        <v>32.756399999999999</v>
      </c>
      <c r="V255" s="11">
        <f t="shared" si="10"/>
        <v>0.60660000000000003</v>
      </c>
      <c r="W255" s="9">
        <f t="shared" si="11"/>
        <v>2.7</v>
      </c>
    </row>
    <row r="256" spans="1:23" hidden="1">
      <c r="A256">
        <v>256</v>
      </c>
      <c r="B256" t="s">
        <v>766</v>
      </c>
      <c r="C256" s="5">
        <v>42336</v>
      </c>
      <c r="D256" s="5">
        <v>42342</v>
      </c>
      <c r="E256" t="s">
        <v>132</v>
      </c>
      <c r="F256" t="s">
        <v>767</v>
      </c>
      <c r="G256" t="s">
        <v>768</v>
      </c>
      <c r="H256" t="s">
        <v>125</v>
      </c>
      <c r="I256" t="s">
        <v>113</v>
      </c>
      <c r="J256" t="s">
        <v>43</v>
      </c>
      <c r="K256" t="s">
        <v>247</v>
      </c>
      <c r="L256">
        <v>60623</v>
      </c>
      <c r="M256" t="s">
        <v>174</v>
      </c>
      <c r="N256" t="s">
        <v>769</v>
      </c>
      <c r="O256" t="s">
        <v>117</v>
      </c>
      <c r="P256" t="s">
        <v>129</v>
      </c>
      <c r="Q256" t="s">
        <v>130</v>
      </c>
      <c r="R256">
        <v>82.367999999999995</v>
      </c>
      <c r="S256">
        <v>2</v>
      </c>
      <c r="T256" s="11">
        <f t="shared" si="9"/>
        <v>0</v>
      </c>
      <c r="U256" s="6">
        <v>49.420799999999993</v>
      </c>
      <c r="V256" s="11">
        <f t="shared" si="10"/>
        <v>0</v>
      </c>
      <c r="W256" s="9">
        <f t="shared" si="11"/>
        <v>0.6</v>
      </c>
    </row>
    <row r="257" spans="1:23" hidden="1">
      <c r="A257">
        <v>257</v>
      </c>
      <c r="B257" t="s">
        <v>766</v>
      </c>
      <c r="C257" s="5">
        <v>42336</v>
      </c>
      <c r="D257" s="5">
        <v>42342</v>
      </c>
      <c r="E257" t="s">
        <v>132</v>
      </c>
      <c r="F257" t="s">
        <v>767</v>
      </c>
      <c r="G257" t="s">
        <v>768</v>
      </c>
      <c r="H257" t="s">
        <v>125</v>
      </c>
      <c r="I257" t="s">
        <v>113</v>
      </c>
      <c r="J257" t="s">
        <v>43</v>
      </c>
      <c r="K257" t="s">
        <v>247</v>
      </c>
      <c r="L257">
        <v>60623</v>
      </c>
      <c r="M257" t="s">
        <v>174</v>
      </c>
      <c r="N257" t="s">
        <v>541</v>
      </c>
      <c r="O257" t="s">
        <v>117</v>
      </c>
      <c r="P257" t="s">
        <v>35</v>
      </c>
      <c r="Q257" t="s">
        <v>136</v>
      </c>
      <c r="R257">
        <v>53.92</v>
      </c>
      <c r="S257">
        <v>5</v>
      </c>
      <c r="T257" s="11">
        <f t="shared" si="9"/>
        <v>0.05</v>
      </c>
      <c r="U257" s="6">
        <v>80.88000000000001</v>
      </c>
      <c r="V257" s="11">
        <f t="shared" si="10"/>
        <v>2.6960000000000002</v>
      </c>
      <c r="W257" s="9">
        <f t="shared" si="11"/>
        <v>1.5000000000000002</v>
      </c>
    </row>
    <row r="258" spans="1:23" hidden="1">
      <c r="A258">
        <v>258</v>
      </c>
      <c r="B258" t="s">
        <v>766</v>
      </c>
      <c r="C258" s="5">
        <v>42336</v>
      </c>
      <c r="D258" s="5">
        <v>42342</v>
      </c>
      <c r="E258" t="s">
        <v>132</v>
      </c>
      <c r="F258" t="s">
        <v>767</v>
      </c>
      <c r="G258" t="s">
        <v>768</v>
      </c>
      <c r="H258" t="s">
        <v>125</v>
      </c>
      <c r="I258" t="s">
        <v>113</v>
      </c>
      <c r="J258" t="s">
        <v>43</v>
      </c>
      <c r="K258" t="s">
        <v>247</v>
      </c>
      <c r="L258">
        <v>60623</v>
      </c>
      <c r="M258" t="s">
        <v>174</v>
      </c>
      <c r="N258" t="s">
        <v>770</v>
      </c>
      <c r="O258" t="s">
        <v>117</v>
      </c>
      <c r="P258" t="s">
        <v>138</v>
      </c>
      <c r="Q258" t="s">
        <v>139</v>
      </c>
      <c r="R258">
        <v>647.904</v>
      </c>
      <c r="S258">
        <v>6</v>
      </c>
      <c r="T258" s="11">
        <f t="shared" ref="T258:T321" si="12">IFERROR(IF(S258&gt;=5,VLOOKUP(S258,$X$311:$Y$313,2,TRUE),0),0)</f>
        <v>0.05</v>
      </c>
      <c r="U258" s="6">
        <v>1166.2272</v>
      </c>
      <c r="V258" s="11">
        <f t="shared" ref="V258:V306" si="13">R258*T258</f>
        <v>32.395200000000003</v>
      </c>
      <c r="W258" s="9">
        <f t="shared" ref="W258:W306" si="14">U258/R258</f>
        <v>1.8</v>
      </c>
    </row>
    <row r="259" spans="1:23" hidden="1">
      <c r="A259">
        <v>259</v>
      </c>
      <c r="B259" t="s">
        <v>771</v>
      </c>
      <c r="C259" s="5">
        <v>43070</v>
      </c>
      <c r="D259" s="5">
        <v>43072</v>
      </c>
      <c r="E259" t="s">
        <v>109</v>
      </c>
      <c r="F259" t="s">
        <v>772</v>
      </c>
      <c r="G259" t="s">
        <v>773</v>
      </c>
      <c r="H259" t="s">
        <v>112</v>
      </c>
      <c r="I259" t="s">
        <v>113</v>
      </c>
      <c r="J259" t="s">
        <v>69</v>
      </c>
      <c r="K259" t="s">
        <v>287</v>
      </c>
      <c r="L259">
        <v>10009</v>
      </c>
      <c r="M259" t="s">
        <v>206</v>
      </c>
      <c r="N259" t="s">
        <v>774</v>
      </c>
      <c r="O259" t="s">
        <v>117</v>
      </c>
      <c r="P259" t="s">
        <v>144</v>
      </c>
      <c r="Q259" t="s">
        <v>145</v>
      </c>
      <c r="R259">
        <v>20.37</v>
      </c>
      <c r="S259">
        <v>3</v>
      </c>
      <c r="T259" s="11">
        <f t="shared" si="12"/>
        <v>0</v>
      </c>
      <c r="U259" s="6">
        <v>18.332999999999998</v>
      </c>
      <c r="V259" s="11">
        <f t="shared" si="13"/>
        <v>0</v>
      </c>
      <c r="W259" s="9">
        <f t="shared" si="14"/>
        <v>0.89999999999999991</v>
      </c>
    </row>
    <row r="260" spans="1:23" hidden="1">
      <c r="A260">
        <v>260</v>
      </c>
      <c r="B260" t="s">
        <v>771</v>
      </c>
      <c r="C260" s="5">
        <v>43070</v>
      </c>
      <c r="D260" s="5">
        <v>43072</v>
      </c>
      <c r="E260" t="s">
        <v>109</v>
      </c>
      <c r="F260" t="s">
        <v>772</v>
      </c>
      <c r="G260" t="s">
        <v>773</v>
      </c>
      <c r="H260" t="s">
        <v>112</v>
      </c>
      <c r="I260" t="s">
        <v>113</v>
      </c>
      <c r="J260" t="s">
        <v>69</v>
      </c>
      <c r="K260" t="s">
        <v>287</v>
      </c>
      <c r="L260">
        <v>10009</v>
      </c>
      <c r="M260" t="s">
        <v>206</v>
      </c>
      <c r="N260" t="s">
        <v>775</v>
      </c>
      <c r="O260" t="s">
        <v>117</v>
      </c>
      <c r="P260" t="s">
        <v>35</v>
      </c>
      <c r="Q260" t="s">
        <v>147</v>
      </c>
      <c r="R260">
        <v>221.55</v>
      </c>
      <c r="S260">
        <v>3</v>
      </c>
      <c r="T260" s="11">
        <f t="shared" si="12"/>
        <v>0</v>
      </c>
      <c r="U260" s="6">
        <v>199.39500000000001</v>
      </c>
      <c r="V260" s="11">
        <f t="shared" si="13"/>
        <v>0</v>
      </c>
      <c r="W260" s="9">
        <f t="shared" si="14"/>
        <v>0.9</v>
      </c>
    </row>
    <row r="261" spans="1:23" hidden="1">
      <c r="A261">
        <v>261</v>
      </c>
      <c r="B261" t="s">
        <v>771</v>
      </c>
      <c r="C261" s="5">
        <v>43070</v>
      </c>
      <c r="D261" s="5">
        <v>43072</v>
      </c>
      <c r="E261" t="s">
        <v>109</v>
      </c>
      <c r="F261" t="s">
        <v>772</v>
      </c>
      <c r="G261" t="s">
        <v>773</v>
      </c>
      <c r="H261" t="s">
        <v>112</v>
      </c>
      <c r="I261" t="s">
        <v>113</v>
      </c>
      <c r="J261" t="s">
        <v>69</v>
      </c>
      <c r="K261" t="s">
        <v>287</v>
      </c>
      <c r="L261">
        <v>10009</v>
      </c>
      <c r="M261" t="s">
        <v>206</v>
      </c>
      <c r="N261" t="s">
        <v>776</v>
      </c>
      <c r="O261" t="s">
        <v>117</v>
      </c>
      <c r="P261" t="s">
        <v>35</v>
      </c>
      <c r="Q261" t="s">
        <v>149</v>
      </c>
      <c r="R261">
        <v>17.52</v>
      </c>
      <c r="S261">
        <v>5</v>
      </c>
      <c r="T261" s="11">
        <f t="shared" si="12"/>
        <v>0.05</v>
      </c>
      <c r="U261" s="6">
        <v>26.279999999999998</v>
      </c>
      <c r="V261" s="11">
        <f t="shared" si="13"/>
        <v>0.876</v>
      </c>
      <c r="W261" s="9">
        <f t="shared" si="14"/>
        <v>1.5</v>
      </c>
    </row>
    <row r="262" spans="1:23" hidden="1">
      <c r="A262">
        <v>262</v>
      </c>
      <c r="B262" t="s">
        <v>777</v>
      </c>
      <c r="C262" s="5">
        <v>42894</v>
      </c>
      <c r="D262" s="5">
        <v>42898</v>
      </c>
      <c r="E262" t="s">
        <v>132</v>
      </c>
      <c r="F262" t="s">
        <v>778</v>
      </c>
      <c r="G262" t="s">
        <v>779</v>
      </c>
      <c r="H262" t="s">
        <v>125</v>
      </c>
      <c r="I262" t="s">
        <v>113</v>
      </c>
      <c r="J262" t="s">
        <v>518</v>
      </c>
      <c r="K262" t="s">
        <v>1</v>
      </c>
      <c r="L262">
        <v>77506</v>
      </c>
      <c r="M262" t="s">
        <v>174</v>
      </c>
      <c r="N262" t="s">
        <v>780</v>
      </c>
      <c r="O262" t="s">
        <v>117</v>
      </c>
      <c r="P262" t="s">
        <v>129</v>
      </c>
      <c r="Q262" t="s">
        <v>151</v>
      </c>
      <c r="R262">
        <v>1.623999999999999</v>
      </c>
      <c r="S262">
        <v>2</v>
      </c>
      <c r="T262" s="11">
        <f t="shared" si="12"/>
        <v>0</v>
      </c>
      <c r="U262" s="6">
        <v>0.97439999999999938</v>
      </c>
      <c r="V262" s="11">
        <f t="shared" si="13"/>
        <v>0</v>
      </c>
      <c r="W262" s="9">
        <f t="shared" si="14"/>
        <v>0.6</v>
      </c>
    </row>
    <row r="263" spans="1:23" hidden="1">
      <c r="A263">
        <v>263</v>
      </c>
      <c r="B263" t="s">
        <v>781</v>
      </c>
      <c r="C263" s="5">
        <v>41901</v>
      </c>
      <c r="D263" s="5">
        <v>41903</v>
      </c>
      <c r="E263" t="s">
        <v>109</v>
      </c>
      <c r="F263" t="s">
        <v>782</v>
      </c>
      <c r="G263" t="s">
        <v>783</v>
      </c>
      <c r="H263" t="s">
        <v>125</v>
      </c>
      <c r="I263" t="s">
        <v>113</v>
      </c>
      <c r="J263" t="s">
        <v>61</v>
      </c>
      <c r="K263" t="s">
        <v>1</v>
      </c>
      <c r="L263">
        <v>77036</v>
      </c>
      <c r="M263" t="s">
        <v>174</v>
      </c>
      <c r="N263" t="s">
        <v>576</v>
      </c>
      <c r="O263" t="s">
        <v>117</v>
      </c>
      <c r="P263" t="s">
        <v>153</v>
      </c>
      <c r="Q263" t="s">
        <v>154</v>
      </c>
      <c r="R263">
        <v>3059.982</v>
      </c>
      <c r="S263">
        <v>3</v>
      </c>
      <c r="T263" s="11">
        <f t="shared" si="12"/>
        <v>0</v>
      </c>
      <c r="U263" s="6">
        <v>2753.9838</v>
      </c>
      <c r="V263" s="11">
        <f t="shared" si="13"/>
        <v>0</v>
      </c>
      <c r="W263" s="9">
        <f t="shared" si="14"/>
        <v>0.9</v>
      </c>
    </row>
    <row r="264" spans="1:23" hidden="1">
      <c r="A264">
        <v>264</v>
      </c>
      <c r="B264" t="s">
        <v>781</v>
      </c>
      <c r="C264" s="5">
        <v>41901</v>
      </c>
      <c r="D264" s="5">
        <v>41903</v>
      </c>
      <c r="E264" t="s">
        <v>109</v>
      </c>
      <c r="F264" t="s">
        <v>782</v>
      </c>
      <c r="G264" t="s">
        <v>783</v>
      </c>
      <c r="H264" t="s">
        <v>125</v>
      </c>
      <c r="I264" t="s">
        <v>113</v>
      </c>
      <c r="J264" t="s">
        <v>61</v>
      </c>
      <c r="K264" t="s">
        <v>1</v>
      </c>
      <c r="L264">
        <v>77036</v>
      </c>
      <c r="M264" t="s">
        <v>174</v>
      </c>
      <c r="N264" t="s">
        <v>784</v>
      </c>
      <c r="O264" t="s">
        <v>117</v>
      </c>
      <c r="P264" t="s">
        <v>144</v>
      </c>
      <c r="Q264" t="s">
        <v>156</v>
      </c>
      <c r="R264">
        <v>2519.9580000000001</v>
      </c>
      <c r="S264">
        <v>7</v>
      </c>
      <c r="T264" s="11">
        <f t="shared" si="12"/>
        <v>0.05</v>
      </c>
      <c r="U264" s="6">
        <v>5291.9118000000008</v>
      </c>
      <c r="V264" s="11">
        <f t="shared" si="13"/>
        <v>125.99790000000002</v>
      </c>
      <c r="W264" s="9">
        <f t="shared" si="14"/>
        <v>2.1</v>
      </c>
    </row>
    <row r="265" spans="1:23" hidden="1">
      <c r="A265">
        <v>265</v>
      </c>
      <c r="B265" t="s">
        <v>785</v>
      </c>
      <c r="C265" s="5">
        <v>42527</v>
      </c>
      <c r="D265" s="5">
        <v>42534</v>
      </c>
      <c r="E265" t="s">
        <v>132</v>
      </c>
      <c r="F265" t="s">
        <v>786</v>
      </c>
      <c r="G265" t="s">
        <v>787</v>
      </c>
      <c r="H265" t="s">
        <v>112</v>
      </c>
      <c r="I265" t="s">
        <v>113</v>
      </c>
      <c r="J265" t="s">
        <v>43</v>
      </c>
      <c r="K265" t="s">
        <v>247</v>
      </c>
      <c r="L265">
        <v>60610</v>
      </c>
      <c r="M265" t="s">
        <v>174</v>
      </c>
      <c r="N265" t="s">
        <v>788</v>
      </c>
      <c r="O265" t="s">
        <v>117</v>
      </c>
      <c r="P265" t="s">
        <v>158</v>
      </c>
      <c r="Q265" t="s">
        <v>159</v>
      </c>
      <c r="R265">
        <v>328.22399999999999</v>
      </c>
      <c r="S265">
        <v>4</v>
      </c>
      <c r="T265" s="11">
        <f t="shared" si="12"/>
        <v>0</v>
      </c>
      <c r="U265" s="6">
        <v>393.86879999999996</v>
      </c>
      <c r="V265" s="11">
        <f t="shared" si="13"/>
        <v>0</v>
      </c>
      <c r="W265" s="9">
        <f t="shared" si="14"/>
        <v>1.2</v>
      </c>
    </row>
    <row r="266" spans="1:23">
      <c r="A266">
        <v>266</v>
      </c>
      <c r="B266" t="s">
        <v>789</v>
      </c>
      <c r="C266" s="5">
        <v>42318</v>
      </c>
      <c r="D266" s="5">
        <v>42323</v>
      </c>
      <c r="E266" t="s">
        <v>132</v>
      </c>
      <c r="F266" t="s">
        <v>790</v>
      </c>
      <c r="G266" t="s">
        <v>791</v>
      </c>
      <c r="H266" t="s">
        <v>112</v>
      </c>
      <c r="I266" t="s">
        <v>113</v>
      </c>
      <c r="J266" t="s">
        <v>40</v>
      </c>
      <c r="K266" t="s">
        <v>126</v>
      </c>
      <c r="L266">
        <v>94513</v>
      </c>
      <c r="M266" t="s">
        <v>127</v>
      </c>
      <c r="N266" t="s">
        <v>792</v>
      </c>
      <c r="O266" t="s">
        <v>117</v>
      </c>
      <c r="P266" t="s">
        <v>35</v>
      </c>
      <c r="Q266" t="s">
        <v>118</v>
      </c>
      <c r="R266" s="9">
        <v>79.900000000000006</v>
      </c>
      <c r="S266">
        <v>2</v>
      </c>
      <c r="T266" s="11">
        <f t="shared" si="12"/>
        <v>0</v>
      </c>
      <c r="U266" s="9">
        <v>47.940000000000005</v>
      </c>
      <c r="V266" s="9">
        <f t="shared" si="13"/>
        <v>0</v>
      </c>
      <c r="W266" s="9">
        <f t="shared" si="14"/>
        <v>0.6</v>
      </c>
    </row>
    <row r="267" spans="1:23" hidden="1">
      <c r="A267">
        <v>267</v>
      </c>
      <c r="B267" t="s">
        <v>793</v>
      </c>
      <c r="C267" s="5">
        <v>42902</v>
      </c>
      <c r="D267" s="5">
        <v>42906</v>
      </c>
      <c r="E267" t="s">
        <v>132</v>
      </c>
      <c r="F267" t="s">
        <v>794</v>
      </c>
      <c r="G267" t="s">
        <v>795</v>
      </c>
      <c r="H267" t="s">
        <v>125</v>
      </c>
      <c r="I267" t="s">
        <v>113</v>
      </c>
      <c r="J267" t="s">
        <v>796</v>
      </c>
      <c r="K267" t="s">
        <v>163</v>
      </c>
      <c r="L267">
        <v>27514</v>
      </c>
      <c r="M267" t="s">
        <v>115</v>
      </c>
      <c r="N267" t="s">
        <v>797</v>
      </c>
      <c r="O267" t="s">
        <v>117</v>
      </c>
      <c r="P267" t="s">
        <v>120</v>
      </c>
      <c r="Q267" t="s">
        <v>121</v>
      </c>
      <c r="R267">
        <v>14.016</v>
      </c>
      <c r="S267">
        <v>3</v>
      </c>
      <c r="T267" s="11">
        <f t="shared" si="12"/>
        <v>0</v>
      </c>
      <c r="U267" s="6">
        <v>12.6144</v>
      </c>
      <c r="V267" s="11">
        <f t="shared" si="13"/>
        <v>0</v>
      </c>
      <c r="W267" s="9">
        <f t="shared" si="14"/>
        <v>0.9</v>
      </c>
    </row>
    <row r="268" spans="1:23" hidden="1">
      <c r="A268">
        <v>268</v>
      </c>
      <c r="B268" t="s">
        <v>798</v>
      </c>
      <c r="C268" s="5">
        <v>42391</v>
      </c>
      <c r="D268" s="5">
        <v>42397</v>
      </c>
      <c r="E268" t="s">
        <v>132</v>
      </c>
      <c r="F268" t="s">
        <v>368</v>
      </c>
      <c r="G268" t="s">
        <v>369</v>
      </c>
      <c r="H268" t="s">
        <v>112</v>
      </c>
      <c r="I268" t="s">
        <v>113</v>
      </c>
      <c r="J268" t="s">
        <v>799</v>
      </c>
      <c r="K268" t="s">
        <v>650</v>
      </c>
      <c r="L268">
        <v>7960</v>
      </c>
      <c r="M268" t="s">
        <v>206</v>
      </c>
      <c r="N268" t="s">
        <v>800</v>
      </c>
      <c r="O268" t="s">
        <v>117</v>
      </c>
      <c r="P268" t="s">
        <v>129</v>
      </c>
      <c r="Q268" t="s">
        <v>130</v>
      </c>
      <c r="R268">
        <v>7.56</v>
      </c>
      <c r="S268">
        <v>6</v>
      </c>
      <c r="T268" s="11">
        <f t="shared" si="12"/>
        <v>0.05</v>
      </c>
      <c r="U268" s="6">
        <v>13.607999999999999</v>
      </c>
      <c r="V268" s="11">
        <f t="shared" si="13"/>
        <v>0.378</v>
      </c>
      <c r="W268" s="9">
        <f t="shared" si="14"/>
        <v>1.7999999999999998</v>
      </c>
    </row>
    <row r="269" spans="1:23" hidden="1">
      <c r="A269">
        <v>269</v>
      </c>
      <c r="B269" t="s">
        <v>801</v>
      </c>
      <c r="C269" s="5">
        <v>43078</v>
      </c>
      <c r="D269" s="5">
        <v>43082</v>
      </c>
      <c r="E269" t="s">
        <v>132</v>
      </c>
      <c r="F269" t="s">
        <v>802</v>
      </c>
      <c r="G269" t="s">
        <v>803</v>
      </c>
      <c r="H269" t="s">
        <v>125</v>
      </c>
      <c r="I269" t="s">
        <v>113</v>
      </c>
      <c r="J269" t="s">
        <v>44</v>
      </c>
      <c r="K269" t="s">
        <v>447</v>
      </c>
      <c r="L269">
        <v>45231</v>
      </c>
      <c r="M269" t="s">
        <v>206</v>
      </c>
      <c r="N269" t="s">
        <v>804</v>
      </c>
      <c r="O269" t="s">
        <v>117</v>
      </c>
      <c r="P269" t="s">
        <v>35</v>
      </c>
      <c r="Q269" t="s">
        <v>136</v>
      </c>
      <c r="R269">
        <v>37.207999999999998</v>
      </c>
      <c r="S269">
        <v>1</v>
      </c>
      <c r="T269" s="11">
        <f t="shared" si="12"/>
        <v>0</v>
      </c>
      <c r="U269" s="6">
        <v>11.1624</v>
      </c>
      <c r="V269" s="11">
        <f t="shared" si="13"/>
        <v>0</v>
      </c>
      <c r="W269" s="9">
        <f t="shared" si="14"/>
        <v>0.3</v>
      </c>
    </row>
    <row r="270" spans="1:23" hidden="1">
      <c r="A270">
        <v>270</v>
      </c>
      <c r="B270" t="s">
        <v>801</v>
      </c>
      <c r="C270" s="5">
        <v>43078</v>
      </c>
      <c r="D270" s="5">
        <v>43082</v>
      </c>
      <c r="E270" t="s">
        <v>132</v>
      </c>
      <c r="F270" t="s">
        <v>802</v>
      </c>
      <c r="G270" t="s">
        <v>803</v>
      </c>
      <c r="H270" t="s">
        <v>125</v>
      </c>
      <c r="I270" t="s">
        <v>113</v>
      </c>
      <c r="J270" t="s">
        <v>44</v>
      </c>
      <c r="K270" t="s">
        <v>447</v>
      </c>
      <c r="L270">
        <v>45231</v>
      </c>
      <c r="M270" t="s">
        <v>206</v>
      </c>
      <c r="N270" t="s">
        <v>805</v>
      </c>
      <c r="O270" t="s">
        <v>117</v>
      </c>
      <c r="P270" t="s">
        <v>138</v>
      </c>
      <c r="Q270" t="s">
        <v>139</v>
      </c>
      <c r="R270">
        <v>57.576000000000001</v>
      </c>
      <c r="S270">
        <v>3</v>
      </c>
      <c r="T270" s="11">
        <f t="shared" si="12"/>
        <v>0</v>
      </c>
      <c r="U270" s="6">
        <v>51.818400000000004</v>
      </c>
      <c r="V270" s="11">
        <f t="shared" si="13"/>
        <v>0</v>
      </c>
      <c r="W270" s="9">
        <f t="shared" si="14"/>
        <v>0.9</v>
      </c>
    </row>
    <row r="271" spans="1:23" hidden="1">
      <c r="A271">
        <v>271</v>
      </c>
      <c r="B271" t="s">
        <v>806</v>
      </c>
      <c r="C271" s="5">
        <v>43097</v>
      </c>
      <c r="D271" s="5">
        <v>43102</v>
      </c>
      <c r="E271" t="s">
        <v>109</v>
      </c>
      <c r="F271" t="s">
        <v>807</v>
      </c>
      <c r="G271" t="s">
        <v>808</v>
      </c>
      <c r="H271" t="s">
        <v>125</v>
      </c>
      <c r="I271" t="s">
        <v>113</v>
      </c>
      <c r="J271" t="s">
        <v>79</v>
      </c>
      <c r="K271" t="s">
        <v>126</v>
      </c>
      <c r="L271">
        <v>94110</v>
      </c>
      <c r="M271" t="s">
        <v>127</v>
      </c>
      <c r="N271" t="s">
        <v>809</v>
      </c>
      <c r="O271" t="s">
        <v>117</v>
      </c>
      <c r="P271" t="s">
        <v>144</v>
      </c>
      <c r="Q271" t="s">
        <v>145</v>
      </c>
      <c r="R271">
        <v>725.84</v>
      </c>
      <c r="S271">
        <v>4</v>
      </c>
      <c r="T271" s="11">
        <f t="shared" si="12"/>
        <v>0</v>
      </c>
      <c r="U271" s="6">
        <v>871.00800000000004</v>
      </c>
      <c r="V271" s="11">
        <f t="shared" si="13"/>
        <v>0</v>
      </c>
      <c r="W271" s="9">
        <f t="shared" si="14"/>
        <v>1.2</v>
      </c>
    </row>
    <row r="272" spans="1:23">
      <c r="A272">
        <v>272</v>
      </c>
      <c r="B272" t="s">
        <v>810</v>
      </c>
      <c r="C272" s="5">
        <v>42215</v>
      </c>
      <c r="D272" s="5">
        <v>42216</v>
      </c>
      <c r="E272" t="s">
        <v>231</v>
      </c>
      <c r="F272" t="s">
        <v>516</v>
      </c>
      <c r="G272" t="s">
        <v>517</v>
      </c>
      <c r="H272" t="s">
        <v>112</v>
      </c>
      <c r="I272" t="s">
        <v>113</v>
      </c>
      <c r="J272" t="s">
        <v>79</v>
      </c>
      <c r="K272" t="s">
        <v>126</v>
      </c>
      <c r="L272">
        <v>94109</v>
      </c>
      <c r="M272" t="s">
        <v>127</v>
      </c>
      <c r="N272" t="s">
        <v>811</v>
      </c>
      <c r="O272" t="s">
        <v>117</v>
      </c>
      <c r="P272" t="s">
        <v>35</v>
      </c>
      <c r="Q272" t="s">
        <v>147</v>
      </c>
      <c r="R272" s="9">
        <v>209.93</v>
      </c>
      <c r="S272">
        <v>7</v>
      </c>
      <c r="T272" s="11">
        <f t="shared" si="12"/>
        <v>0.05</v>
      </c>
      <c r="U272" s="9">
        <v>440.85300000000001</v>
      </c>
      <c r="V272" s="9">
        <f t="shared" si="13"/>
        <v>10.496500000000001</v>
      </c>
      <c r="W272" s="9">
        <f t="shared" si="14"/>
        <v>2.1</v>
      </c>
    </row>
    <row r="273" spans="1:23">
      <c r="A273">
        <v>273</v>
      </c>
      <c r="B273" t="s">
        <v>810</v>
      </c>
      <c r="C273" s="5">
        <v>42215</v>
      </c>
      <c r="D273" s="5">
        <v>42216</v>
      </c>
      <c r="E273" t="s">
        <v>231</v>
      </c>
      <c r="F273" t="s">
        <v>516</v>
      </c>
      <c r="G273" t="s">
        <v>517</v>
      </c>
      <c r="H273" t="s">
        <v>112</v>
      </c>
      <c r="I273" t="s">
        <v>113</v>
      </c>
      <c r="J273" t="s">
        <v>79</v>
      </c>
      <c r="K273" t="s">
        <v>126</v>
      </c>
      <c r="L273">
        <v>94109</v>
      </c>
      <c r="M273" t="s">
        <v>127</v>
      </c>
      <c r="N273" t="s">
        <v>812</v>
      </c>
      <c r="O273" t="s">
        <v>117</v>
      </c>
      <c r="P273" t="s">
        <v>35</v>
      </c>
      <c r="Q273" t="s">
        <v>149</v>
      </c>
      <c r="R273" s="9">
        <v>5.28</v>
      </c>
      <c r="S273">
        <v>3</v>
      </c>
      <c r="T273" s="11">
        <f t="shared" si="12"/>
        <v>0</v>
      </c>
      <c r="U273" s="9">
        <v>4.7519999999999998</v>
      </c>
      <c r="V273" s="9">
        <f t="shared" si="13"/>
        <v>0</v>
      </c>
      <c r="W273" s="9">
        <f t="shared" si="14"/>
        <v>0.89999999999999991</v>
      </c>
    </row>
    <row r="274" spans="1:23" hidden="1">
      <c r="A274">
        <v>274</v>
      </c>
      <c r="B274" t="s">
        <v>810</v>
      </c>
      <c r="C274" s="5">
        <v>42215</v>
      </c>
      <c r="D274" s="5">
        <v>42216</v>
      </c>
      <c r="E274" t="s">
        <v>231</v>
      </c>
      <c r="F274" t="s">
        <v>516</v>
      </c>
      <c r="G274" t="s">
        <v>517</v>
      </c>
      <c r="H274" t="s">
        <v>112</v>
      </c>
      <c r="I274" t="s">
        <v>113</v>
      </c>
      <c r="J274" t="s">
        <v>79</v>
      </c>
      <c r="K274" t="s">
        <v>126</v>
      </c>
      <c r="L274">
        <v>94109</v>
      </c>
      <c r="M274" t="s">
        <v>127</v>
      </c>
      <c r="N274" t="s">
        <v>813</v>
      </c>
      <c r="O274" t="s">
        <v>117</v>
      </c>
      <c r="P274" t="s">
        <v>129</v>
      </c>
      <c r="Q274" t="s">
        <v>151</v>
      </c>
      <c r="R274">
        <v>10.92</v>
      </c>
      <c r="S274">
        <v>3</v>
      </c>
      <c r="T274" s="11">
        <f t="shared" si="12"/>
        <v>0</v>
      </c>
      <c r="U274" s="6">
        <v>9.8279999999999994</v>
      </c>
      <c r="V274" s="11">
        <f t="shared" si="13"/>
        <v>0</v>
      </c>
      <c r="W274" s="9">
        <f t="shared" si="14"/>
        <v>0.89999999999999991</v>
      </c>
    </row>
    <row r="275" spans="1:23" hidden="1">
      <c r="A275">
        <v>275</v>
      </c>
      <c r="B275" t="s">
        <v>814</v>
      </c>
      <c r="C275" s="5">
        <v>42994</v>
      </c>
      <c r="D275" s="5">
        <v>42995</v>
      </c>
      <c r="E275" t="s">
        <v>231</v>
      </c>
      <c r="F275" t="s">
        <v>815</v>
      </c>
      <c r="G275" t="s">
        <v>816</v>
      </c>
      <c r="H275" t="s">
        <v>125</v>
      </c>
      <c r="I275" t="s">
        <v>113</v>
      </c>
      <c r="J275" t="s">
        <v>817</v>
      </c>
      <c r="K275" t="s">
        <v>126</v>
      </c>
      <c r="L275">
        <v>90301</v>
      </c>
      <c r="M275" t="s">
        <v>127</v>
      </c>
      <c r="N275" t="s">
        <v>818</v>
      </c>
      <c r="O275" t="s">
        <v>117</v>
      </c>
      <c r="P275" t="s">
        <v>153</v>
      </c>
      <c r="Q275" t="s">
        <v>154</v>
      </c>
      <c r="R275">
        <v>8.82</v>
      </c>
      <c r="S275">
        <v>2</v>
      </c>
      <c r="T275" s="11">
        <f t="shared" si="12"/>
        <v>0</v>
      </c>
      <c r="U275" s="6">
        <v>5.2919999999999998</v>
      </c>
      <c r="V275" s="11">
        <f t="shared" si="13"/>
        <v>0</v>
      </c>
      <c r="W275" s="9">
        <f t="shared" si="14"/>
        <v>0.6</v>
      </c>
    </row>
    <row r="276" spans="1:23" hidden="1">
      <c r="A276">
        <v>276</v>
      </c>
      <c r="B276" t="s">
        <v>814</v>
      </c>
      <c r="C276" s="5">
        <v>42994</v>
      </c>
      <c r="D276" s="5">
        <v>42995</v>
      </c>
      <c r="E276" t="s">
        <v>231</v>
      </c>
      <c r="F276" t="s">
        <v>815</v>
      </c>
      <c r="G276" t="s">
        <v>816</v>
      </c>
      <c r="H276" t="s">
        <v>125</v>
      </c>
      <c r="I276" t="s">
        <v>113</v>
      </c>
      <c r="J276" t="s">
        <v>817</v>
      </c>
      <c r="K276" t="s">
        <v>126</v>
      </c>
      <c r="L276">
        <v>90301</v>
      </c>
      <c r="M276" t="s">
        <v>127</v>
      </c>
      <c r="N276" t="s">
        <v>819</v>
      </c>
      <c r="O276" t="s">
        <v>117</v>
      </c>
      <c r="P276" t="s">
        <v>144</v>
      </c>
      <c r="Q276" t="s">
        <v>156</v>
      </c>
      <c r="R276">
        <v>5.98</v>
      </c>
      <c r="S276">
        <v>1</v>
      </c>
      <c r="T276" s="11">
        <f t="shared" si="12"/>
        <v>0</v>
      </c>
      <c r="U276" s="6">
        <v>1.794</v>
      </c>
      <c r="V276" s="11">
        <f t="shared" si="13"/>
        <v>0</v>
      </c>
      <c r="W276" s="9">
        <f t="shared" si="14"/>
        <v>0.3</v>
      </c>
    </row>
    <row r="277" spans="1:23" hidden="1">
      <c r="A277">
        <v>277</v>
      </c>
      <c r="B277" t="s">
        <v>820</v>
      </c>
      <c r="C277" s="5">
        <v>43021</v>
      </c>
      <c r="D277" s="5">
        <v>43025</v>
      </c>
      <c r="E277" t="s">
        <v>132</v>
      </c>
      <c r="F277" t="s">
        <v>821</v>
      </c>
      <c r="G277" t="s">
        <v>822</v>
      </c>
      <c r="H277" t="s">
        <v>125</v>
      </c>
      <c r="I277" t="s">
        <v>113</v>
      </c>
      <c r="J277" t="s">
        <v>71</v>
      </c>
      <c r="K277" t="s">
        <v>205</v>
      </c>
      <c r="L277">
        <v>19140</v>
      </c>
      <c r="M277" t="s">
        <v>206</v>
      </c>
      <c r="N277" t="s">
        <v>823</v>
      </c>
      <c r="O277" t="s">
        <v>117</v>
      </c>
      <c r="P277" t="s">
        <v>158</v>
      </c>
      <c r="Q277" t="s">
        <v>159</v>
      </c>
      <c r="R277">
        <v>11.648</v>
      </c>
      <c r="S277">
        <v>2</v>
      </c>
      <c r="T277" s="11">
        <f t="shared" si="12"/>
        <v>0</v>
      </c>
      <c r="U277" s="6">
        <v>6.9887999999999995</v>
      </c>
      <c r="V277" s="11">
        <f t="shared" si="13"/>
        <v>0</v>
      </c>
      <c r="W277" s="9">
        <f t="shared" si="14"/>
        <v>0.6</v>
      </c>
    </row>
    <row r="278" spans="1:23" hidden="1">
      <c r="A278">
        <v>278</v>
      </c>
      <c r="B278" t="s">
        <v>820</v>
      </c>
      <c r="C278" s="5">
        <v>43021</v>
      </c>
      <c r="D278" s="5">
        <v>43025</v>
      </c>
      <c r="E278" t="s">
        <v>132</v>
      </c>
      <c r="F278" t="s">
        <v>821</v>
      </c>
      <c r="G278" t="s">
        <v>822</v>
      </c>
      <c r="H278" t="s">
        <v>125</v>
      </c>
      <c r="I278" t="s">
        <v>113</v>
      </c>
      <c r="J278" t="s">
        <v>71</v>
      </c>
      <c r="K278" t="s">
        <v>205</v>
      </c>
      <c r="L278">
        <v>19140</v>
      </c>
      <c r="M278" t="s">
        <v>206</v>
      </c>
      <c r="N278" t="s">
        <v>824</v>
      </c>
      <c r="O278" t="s">
        <v>117</v>
      </c>
      <c r="P278" t="s">
        <v>35</v>
      </c>
      <c r="Q278" t="s">
        <v>118</v>
      </c>
      <c r="R278">
        <v>18.175999999999998</v>
      </c>
      <c r="S278">
        <v>4</v>
      </c>
      <c r="T278" s="11">
        <f t="shared" si="12"/>
        <v>0</v>
      </c>
      <c r="U278" s="6">
        <v>21.811199999999996</v>
      </c>
      <c r="V278" s="11">
        <f t="shared" si="13"/>
        <v>0</v>
      </c>
      <c r="W278" s="9">
        <f t="shared" si="14"/>
        <v>1.2</v>
      </c>
    </row>
    <row r="279" spans="1:23" hidden="1">
      <c r="A279">
        <v>279</v>
      </c>
      <c r="B279" t="s">
        <v>820</v>
      </c>
      <c r="C279" s="5">
        <v>43021</v>
      </c>
      <c r="D279" s="5">
        <v>43025</v>
      </c>
      <c r="E279" t="s">
        <v>132</v>
      </c>
      <c r="F279" t="s">
        <v>821</v>
      </c>
      <c r="G279" t="s">
        <v>822</v>
      </c>
      <c r="H279" t="s">
        <v>125</v>
      </c>
      <c r="I279" t="s">
        <v>113</v>
      </c>
      <c r="J279" t="s">
        <v>71</v>
      </c>
      <c r="K279" t="s">
        <v>205</v>
      </c>
      <c r="L279">
        <v>19140</v>
      </c>
      <c r="M279" t="s">
        <v>206</v>
      </c>
      <c r="N279" t="s">
        <v>825</v>
      </c>
      <c r="O279" t="s">
        <v>117</v>
      </c>
      <c r="P279" t="s">
        <v>120</v>
      </c>
      <c r="Q279" t="s">
        <v>121</v>
      </c>
      <c r="R279">
        <v>59.712000000000003</v>
      </c>
      <c r="S279">
        <v>6</v>
      </c>
      <c r="T279" s="11">
        <f t="shared" si="12"/>
        <v>0.05</v>
      </c>
      <c r="U279" s="6">
        <v>107.48160000000001</v>
      </c>
      <c r="V279" s="11">
        <f t="shared" si="13"/>
        <v>2.9856000000000003</v>
      </c>
      <c r="W279" s="9">
        <f t="shared" si="14"/>
        <v>1.8</v>
      </c>
    </row>
    <row r="280" spans="1:23" hidden="1">
      <c r="A280">
        <v>280</v>
      </c>
      <c r="B280" t="s">
        <v>820</v>
      </c>
      <c r="C280" s="5">
        <v>43021</v>
      </c>
      <c r="D280" s="5">
        <v>43025</v>
      </c>
      <c r="E280" t="s">
        <v>132</v>
      </c>
      <c r="F280" t="s">
        <v>821</v>
      </c>
      <c r="G280" t="s">
        <v>822</v>
      </c>
      <c r="H280" t="s">
        <v>125</v>
      </c>
      <c r="I280" t="s">
        <v>113</v>
      </c>
      <c r="J280" t="s">
        <v>71</v>
      </c>
      <c r="K280" t="s">
        <v>205</v>
      </c>
      <c r="L280">
        <v>19140</v>
      </c>
      <c r="M280" t="s">
        <v>206</v>
      </c>
      <c r="N280" t="s">
        <v>826</v>
      </c>
      <c r="O280" t="s">
        <v>117</v>
      </c>
      <c r="P280" t="s">
        <v>129</v>
      </c>
      <c r="Q280" t="s">
        <v>130</v>
      </c>
      <c r="R280">
        <v>24.84</v>
      </c>
      <c r="S280">
        <v>3</v>
      </c>
      <c r="T280" s="11">
        <f t="shared" si="12"/>
        <v>0</v>
      </c>
      <c r="U280" s="6">
        <v>22.355999999999998</v>
      </c>
      <c r="V280" s="11">
        <f t="shared" si="13"/>
        <v>0</v>
      </c>
      <c r="W280" s="9">
        <f t="shared" si="14"/>
        <v>0.89999999999999991</v>
      </c>
    </row>
    <row r="281" spans="1:23" hidden="1">
      <c r="A281">
        <v>281</v>
      </c>
      <c r="B281" t="s">
        <v>827</v>
      </c>
      <c r="C281" s="5">
        <v>42273</v>
      </c>
      <c r="D281" s="5">
        <v>42275</v>
      </c>
      <c r="E281" t="s">
        <v>109</v>
      </c>
      <c r="F281" t="s">
        <v>462</v>
      </c>
      <c r="G281" t="s">
        <v>463</v>
      </c>
      <c r="H281" t="s">
        <v>112</v>
      </c>
      <c r="I281" t="s">
        <v>113</v>
      </c>
      <c r="J281" t="s">
        <v>61</v>
      </c>
      <c r="K281" t="s">
        <v>1</v>
      </c>
      <c r="L281">
        <v>77070</v>
      </c>
      <c r="M281" t="s">
        <v>174</v>
      </c>
      <c r="N281" t="s">
        <v>828</v>
      </c>
      <c r="O281" t="s">
        <v>117</v>
      </c>
      <c r="P281" t="s">
        <v>35</v>
      </c>
      <c r="Q281" t="s">
        <v>136</v>
      </c>
      <c r="R281">
        <v>2.08</v>
      </c>
      <c r="S281">
        <v>5</v>
      </c>
      <c r="T281" s="11">
        <f t="shared" si="12"/>
        <v>0.05</v>
      </c>
      <c r="U281" s="6">
        <v>3.12</v>
      </c>
      <c r="V281" s="11">
        <f t="shared" si="13"/>
        <v>0.10400000000000001</v>
      </c>
      <c r="W281" s="9">
        <f t="shared" si="14"/>
        <v>1.5</v>
      </c>
    </row>
    <row r="282" spans="1:23" hidden="1">
      <c r="A282">
        <v>282</v>
      </c>
      <c r="B282" t="s">
        <v>827</v>
      </c>
      <c r="C282" s="5">
        <v>42273</v>
      </c>
      <c r="D282" s="5">
        <v>42275</v>
      </c>
      <c r="E282" t="s">
        <v>109</v>
      </c>
      <c r="F282" t="s">
        <v>462</v>
      </c>
      <c r="G282" t="s">
        <v>463</v>
      </c>
      <c r="H282" t="s">
        <v>112</v>
      </c>
      <c r="I282" t="s">
        <v>113</v>
      </c>
      <c r="J282" t="s">
        <v>61</v>
      </c>
      <c r="K282" t="s">
        <v>1</v>
      </c>
      <c r="L282">
        <v>77070</v>
      </c>
      <c r="M282" t="s">
        <v>174</v>
      </c>
      <c r="N282" t="s">
        <v>829</v>
      </c>
      <c r="O282" t="s">
        <v>117</v>
      </c>
      <c r="P282" t="s">
        <v>138</v>
      </c>
      <c r="Q282" t="s">
        <v>139</v>
      </c>
      <c r="R282">
        <v>1114.4000000000001</v>
      </c>
      <c r="S282">
        <v>7</v>
      </c>
      <c r="T282" s="11">
        <f t="shared" si="12"/>
        <v>0.05</v>
      </c>
      <c r="U282" s="6">
        <v>2340.2400000000002</v>
      </c>
      <c r="V282" s="11">
        <f t="shared" si="13"/>
        <v>55.720000000000006</v>
      </c>
      <c r="W282" s="9">
        <f t="shared" si="14"/>
        <v>2.1</v>
      </c>
    </row>
    <row r="283" spans="1:23" hidden="1">
      <c r="A283">
        <v>283</v>
      </c>
      <c r="B283" t="s">
        <v>830</v>
      </c>
      <c r="C283" s="5">
        <v>42310</v>
      </c>
      <c r="D283" s="5">
        <v>42314</v>
      </c>
      <c r="E283" t="s">
        <v>132</v>
      </c>
      <c r="F283" t="s">
        <v>831</v>
      </c>
      <c r="G283" t="s">
        <v>832</v>
      </c>
      <c r="H283" t="s">
        <v>112</v>
      </c>
      <c r="I283" t="s">
        <v>113</v>
      </c>
      <c r="J283" t="s">
        <v>63</v>
      </c>
      <c r="K283" t="s">
        <v>126</v>
      </c>
      <c r="L283">
        <v>90004</v>
      </c>
      <c r="M283" t="s">
        <v>127</v>
      </c>
      <c r="N283" t="s">
        <v>833</v>
      </c>
      <c r="O283" t="s">
        <v>117</v>
      </c>
      <c r="P283" t="s">
        <v>144</v>
      </c>
      <c r="Q283" t="s">
        <v>145</v>
      </c>
      <c r="R283">
        <v>1038.8399999999999</v>
      </c>
      <c r="S283">
        <v>5</v>
      </c>
      <c r="T283" s="11">
        <f t="shared" si="12"/>
        <v>0.05</v>
      </c>
      <c r="U283" s="6">
        <v>1558.26</v>
      </c>
      <c r="V283" s="11">
        <f t="shared" si="13"/>
        <v>51.942</v>
      </c>
      <c r="W283" s="9">
        <f t="shared" si="14"/>
        <v>1.5</v>
      </c>
    </row>
    <row r="284" spans="1:23" hidden="1">
      <c r="A284">
        <v>284</v>
      </c>
      <c r="B284" t="s">
        <v>834</v>
      </c>
      <c r="C284" s="5">
        <v>42273</v>
      </c>
      <c r="D284" s="5">
        <v>42279</v>
      </c>
      <c r="E284" t="s">
        <v>132</v>
      </c>
      <c r="F284" t="s">
        <v>217</v>
      </c>
      <c r="G284" t="s">
        <v>218</v>
      </c>
      <c r="H284" t="s">
        <v>112</v>
      </c>
      <c r="I284" t="s">
        <v>113</v>
      </c>
      <c r="J284" t="s">
        <v>73</v>
      </c>
      <c r="K284" t="s">
        <v>391</v>
      </c>
      <c r="L284">
        <v>97206</v>
      </c>
      <c r="M284" t="s">
        <v>127</v>
      </c>
      <c r="N284" t="s">
        <v>835</v>
      </c>
      <c r="O284" t="s">
        <v>117</v>
      </c>
      <c r="P284" t="s">
        <v>35</v>
      </c>
      <c r="Q284" t="s">
        <v>147</v>
      </c>
      <c r="R284">
        <v>141.76</v>
      </c>
      <c r="S284">
        <v>5</v>
      </c>
      <c r="T284" s="11">
        <f t="shared" si="12"/>
        <v>0.05</v>
      </c>
      <c r="U284" s="6">
        <v>212.64</v>
      </c>
      <c r="V284" s="11">
        <f t="shared" si="13"/>
        <v>7.0880000000000001</v>
      </c>
      <c r="W284" s="9">
        <f t="shared" si="14"/>
        <v>1.5</v>
      </c>
    </row>
    <row r="285" spans="1:23" hidden="1">
      <c r="A285">
        <v>285</v>
      </c>
      <c r="B285" t="s">
        <v>834</v>
      </c>
      <c r="C285" s="5">
        <v>42273</v>
      </c>
      <c r="D285" s="5">
        <v>42279</v>
      </c>
      <c r="E285" t="s">
        <v>132</v>
      </c>
      <c r="F285" t="s">
        <v>217</v>
      </c>
      <c r="G285" t="s">
        <v>218</v>
      </c>
      <c r="H285" t="s">
        <v>112</v>
      </c>
      <c r="I285" t="s">
        <v>113</v>
      </c>
      <c r="J285" t="s">
        <v>73</v>
      </c>
      <c r="K285" t="s">
        <v>391</v>
      </c>
      <c r="L285">
        <v>97206</v>
      </c>
      <c r="M285" t="s">
        <v>127</v>
      </c>
      <c r="N285" t="s">
        <v>836</v>
      </c>
      <c r="O285" t="s">
        <v>117</v>
      </c>
      <c r="P285" t="s">
        <v>35</v>
      </c>
      <c r="Q285" t="s">
        <v>149</v>
      </c>
      <c r="R285">
        <v>239.8</v>
      </c>
      <c r="S285">
        <v>5</v>
      </c>
      <c r="T285" s="11">
        <f t="shared" si="12"/>
        <v>0.05</v>
      </c>
      <c r="U285" s="6">
        <v>359.7</v>
      </c>
      <c r="V285" s="11">
        <f t="shared" si="13"/>
        <v>11.990000000000002</v>
      </c>
      <c r="W285" s="9">
        <f t="shared" si="14"/>
        <v>1.4999999999999998</v>
      </c>
    </row>
    <row r="286" spans="1:23" hidden="1">
      <c r="A286">
        <v>286</v>
      </c>
      <c r="B286" t="s">
        <v>834</v>
      </c>
      <c r="C286" s="5">
        <v>42273</v>
      </c>
      <c r="D286" s="5">
        <v>42279</v>
      </c>
      <c r="E286" t="s">
        <v>132</v>
      </c>
      <c r="F286" t="s">
        <v>217</v>
      </c>
      <c r="G286" t="s">
        <v>218</v>
      </c>
      <c r="H286" t="s">
        <v>112</v>
      </c>
      <c r="I286" t="s">
        <v>113</v>
      </c>
      <c r="J286" t="s">
        <v>73</v>
      </c>
      <c r="K286" t="s">
        <v>391</v>
      </c>
      <c r="L286">
        <v>97206</v>
      </c>
      <c r="M286" t="s">
        <v>127</v>
      </c>
      <c r="N286" t="s">
        <v>837</v>
      </c>
      <c r="O286" t="s">
        <v>117</v>
      </c>
      <c r="P286" t="s">
        <v>129</v>
      </c>
      <c r="Q286" t="s">
        <v>151</v>
      </c>
      <c r="R286">
        <v>31.10400000000001</v>
      </c>
      <c r="S286">
        <v>6</v>
      </c>
      <c r="T286" s="11">
        <f t="shared" si="12"/>
        <v>0.05</v>
      </c>
      <c r="U286" s="6">
        <v>55.987200000000016</v>
      </c>
      <c r="V286" s="11">
        <f t="shared" si="13"/>
        <v>1.5552000000000006</v>
      </c>
      <c r="W286" s="9">
        <f t="shared" si="14"/>
        <v>1.7999999999999998</v>
      </c>
    </row>
    <row r="287" spans="1:23" hidden="1">
      <c r="A287">
        <v>287</v>
      </c>
      <c r="B287" t="s">
        <v>838</v>
      </c>
      <c r="C287" s="5">
        <v>42722</v>
      </c>
      <c r="D287" s="5">
        <v>42724</v>
      </c>
      <c r="E287" t="s">
        <v>109</v>
      </c>
      <c r="F287" t="s">
        <v>839</v>
      </c>
      <c r="G287" t="s">
        <v>840</v>
      </c>
      <c r="H287" t="s">
        <v>125</v>
      </c>
      <c r="I287" t="s">
        <v>113</v>
      </c>
      <c r="J287" t="s">
        <v>841</v>
      </c>
      <c r="K287" t="s">
        <v>6</v>
      </c>
      <c r="L287">
        <v>33319</v>
      </c>
      <c r="M287" t="s">
        <v>115</v>
      </c>
      <c r="N287" t="s">
        <v>842</v>
      </c>
      <c r="O287" t="s">
        <v>117</v>
      </c>
      <c r="P287" t="s">
        <v>153</v>
      </c>
      <c r="Q287" t="s">
        <v>154</v>
      </c>
      <c r="R287">
        <v>254.05799999999999</v>
      </c>
      <c r="S287">
        <v>7</v>
      </c>
      <c r="T287" s="11">
        <f t="shared" si="12"/>
        <v>0.05</v>
      </c>
      <c r="U287" s="6">
        <v>533.52179999999998</v>
      </c>
      <c r="V287" s="11">
        <f t="shared" si="13"/>
        <v>12.7029</v>
      </c>
      <c r="W287" s="9">
        <f t="shared" si="14"/>
        <v>2.1</v>
      </c>
    </row>
    <row r="288" spans="1:23" hidden="1">
      <c r="A288">
        <v>288</v>
      </c>
      <c r="B288" t="s">
        <v>838</v>
      </c>
      <c r="C288" s="5">
        <v>42722</v>
      </c>
      <c r="D288" s="5">
        <v>42724</v>
      </c>
      <c r="E288" t="s">
        <v>109</v>
      </c>
      <c r="F288" t="s">
        <v>839</v>
      </c>
      <c r="G288" t="s">
        <v>840</v>
      </c>
      <c r="H288" t="s">
        <v>125</v>
      </c>
      <c r="I288" t="s">
        <v>113</v>
      </c>
      <c r="J288" t="s">
        <v>841</v>
      </c>
      <c r="K288" t="s">
        <v>6</v>
      </c>
      <c r="L288">
        <v>33319</v>
      </c>
      <c r="M288" t="s">
        <v>115</v>
      </c>
      <c r="N288" t="s">
        <v>596</v>
      </c>
      <c r="O288" t="s">
        <v>117</v>
      </c>
      <c r="P288" t="s">
        <v>144</v>
      </c>
      <c r="Q288" t="s">
        <v>156</v>
      </c>
      <c r="R288">
        <v>194.52799999999999</v>
      </c>
      <c r="S288">
        <v>2</v>
      </c>
      <c r="T288" s="11">
        <f t="shared" si="12"/>
        <v>0</v>
      </c>
      <c r="U288" s="6">
        <v>116.71679999999999</v>
      </c>
      <c r="V288" s="11">
        <f t="shared" si="13"/>
        <v>0</v>
      </c>
      <c r="W288" s="9">
        <f t="shared" si="14"/>
        <v>0.6</v>
      </c>
    </row>
    <row r="289" spans="1:23" hidden="1">
      <c r="A289">
        <v>289</v>
      </c>
      <c r="B289" t="s">
        <v>838</v>
      </c>
      <c r="C289" s="5">
        <v>42722</v>
      </c>
      <c r="D289" s="5">
        <v>42724</v>
      </c>
      <c r="E289" t="s">
        <v>109</v>
      </c>
      <c r="F289" t="s">
        <v>839</v>
      </c>
      <c r="G289" t="s">
        <v>840</v>
      </c>
      <c r="H289" t="s">
        <v>125</v>
      </c>
      <c r="I289" t="s">
        <v>113</v>
      </c>
      <c r="J289" t="s">
        <v>841</v>
      </c>
      <c r="K289" t="s">
        <v>6</v>
      </c>
      <c r="L289">
        <v>33319</v>
      </c>
      <c r="M289" t="s">
        <v>115</v>
      </c>
      <c r="N289" t="s">
        <v>843</v>
      </c>
      <c r="O289" t="s">
        <v>117</v>
      </c>
      <c r="P289" t="s">
        <v>158</v>
      </c>
      <c r="Q289" t="s">
        <v>159</v>
      </c>
      <c r="R289">
        <v>961.48000000000013</v>
      </c>
      <c r="S289">
        <v>5</v>
      </c>
      <c r="T289" s="11">
        <f t="shared" si="12"/>
        <v>0.05</v>
      </c>
      <c r="U289" s="6">
        <v>1442.22</v>
      </c>
      <c r="V289" s="11">
        <f t="shared" si="13"/>
        <v>48.074000000000012</v>
      </c>
      <c r="W289" s="9">
        <f t="shared" si="14"/>
        <v>1.4999999999999998</v>
      </c>
    </row>
    <row r="290" spans="1:23" hidden="1">
      <c r="A290">
        <v>290</v>
      </c>
      <c r="B290" t="s">
        <v>844</v>
      </c>
      <c r="C290" s="5">
        <v>42694</v>
      </c>
      <c r="D290" s="5">
        <v>42698</v>
      </c>
      <c r="E290" t="s">
        <v>109</v>
      </c>
      <c r="F290" t="s">
        <v>845</v>
      </c>
      <c r="G290" t="s">
        <v>846</v>
      </c>
      <c r="H290" t="s">
        <v>173</v>
      </c>
      <c r="I290" t="s">
        <v>113</v>
      </c>
      <c r="J290" t="s">
        <v>47</v>
      </c>
      <c r="K290" t="s">
        <v>447</v>
      </c>
      <c r="L290">
        <v>43229</v>
      </c>
      <c r="M290" t="s">
        <v>206</v>
      </c>
      <c r="N290" t="s">
        <v>847</v>
      </c>
      <c r="O290" t="s">
        <v>117</v>
      </c>
      <c r="P290" t="s">
        <v>35</v>
      </c>
      <c r="Q290" t="s">
        <v>118</v>
      </c>
      <c r="R290">
        <v>19.096</v>
      </c>
      <c r="S290">
        <v>7</v>
      </c>
      <c r="T290" s="11">
        <f t="shared" si="12"/>
        <v>0.05</v>
      </c>
      <c r="U290" s="6">
        <v>40.101599999999998</v>
      </c>
      <c r="V290" s="11">
        <f t="shared" si="13"/>
        <v>0.95480000000000009</v>
      </c>
      <c r="W290" s="9">
        <f t="shared" si="14"/>
        <v>2.1</v>
      </c>
    </row>
    <row r="291" spans="1:23" hidden="1">
      <c r="A291">
        <v>291</v>
      </c>
      <c r="B291" t="s">
        <v>844</v>
      </c>
      <c r="C291" s="5">
        <v>42694</v>
      </c>
      <c r="D291" s="5">
        <v>42698</v>
      </c>
      <c r="E291" t="s">
        <v>109</v>
      </c>
      <c r="F291" t="s">
        <v>845</v>
      </c>
      <c r="G291" t="s">
        <v>846</v>
      </c>
      <c r="H291" t="s">
        <v>173</v>
      </c>
      <c r="I291" t="s">
        <v>113</v>
      </c>
      <c r="J291" t="s">
        <v>47</v>
      </c>
      <c r="K291" t="s">
        <v>447</v>
      </c>
      <c r="L291">
        <v>43229</v>
      </c>
      <c r="M291" t="s">
        <v>206</v>
      </c>
      <c r="N291" t="s">
        <v>848</v>
      </c>
      <c r="O291" t="s">
        <v>117</v>
      </c>
      <c r="P291" t="s">
        <v>120</v>
      </c>
      <c r="Q291" t="s">
        <v>121</v>
      </c>
      <c r="R291">
        <v>18.495999999999999</v>
      </c>
      <c r="S291">
        <v>8</v>
      </c>
      <c r="T291" s="11">
        <f t="shared" si="12"/>
        <v>0.05</v>
      </c>
      <c r="U291" s="6">
        <v>44.390399999999993</v>
      </c>
      <c r="V291" s="11">
        <f t="shared" si="13"/>
        <v>0.92479999999999996</v>
      </c>
      <c r="W291" s="9">
        <f t="shared" si="14"/>
        <v>2.4</v>
      </c>
    </row>
    <row r="292" spans="1:23" hidden="1">
      <c r="A292">
        <v>292</v>
      </c>
      <c r="B292" t="s">
        <v>844</v>
      </c>
      <c r="C292" s="5">
        <v>42694</v>
      </c>
      <c r="D292" s="5">
        <v>42698</v>
      </c>
      <c r="E292" t="s">
        <v>109</v>
      </c>
      <c r="F292" t="s">
        <v>845</v>
      </c>
      <c r="G292" t="s">
        <v>846</v>
      </c>
      <c r="H292" t="s">
        <v>173</v>
      </c>
      <c r="I292" t="s">
        <v>113</v>
      </c>
      <c r="J292" t="s">
        <v>47</v>
      </c>
      <c r="K292" t="s">
        <v>447</v>
      </c>
      <c r="L292">
        <v>43229</v>
      </c>
      <c r="M292" t="s">
        <v>206</v>
      </c>
      <c r="N292" t="s">
        <v>849</v>
      </c>
      <c r="O292" t="s">
        <v>117</v>
      </c>
      <c r="P292" t="s">
        <v>129</v>
      </c>
      <c r="Q292" t="s">
        <v>130</v>
      </c>
      <c r="R292">
        <v>255.98400000000001</v>
      </c>
      <c r="S292">
        <v>2</v>
      </c>
      <c r="T292" s="11">
        <f t="shared" si="12"/>
        <v>0</v>
      </c>
      <c r="U292" s="6">
        <v>153.59039999999999</v>
      </c>
      <c r="V292" s="11">
        <f t="shared" si="13"/>
        <v>0</v>
      </c>
      <c r="W292" s="9">
        <f t="shared" si="14"/>
        <v>0.6</v>
      </c>
    </row>
    <row r="293" spans="1:23" hidden="1">
      <c r="A293">
        <v>293</v>
      </c>
      <c r="B293" t="s">
        <v>844</v>
      </c>
      <c r="C293" s="5">
        <v>42694</v>
      </c>
      <c r="D293" s="5">
        <v>42698</v>
      </c>
      <c r="E293" t="s">
        <v>109</v>
      </c>
      <c r="F293" t="s">
        <v>845</v>
      </c>
      <c r="G293" t="s">
        <v>846</v>
      </c>
      <c r="H293" t="s">
        <v>173</v>
      </c>
      <c r="I293" t="s">
        <v>113</v>
      </c>
      <c r="J293" t="s">
        <v>47</v>
      </c>
      <c r="K293" t="s">
        <v>447</v>
      </c>
      <c r="L293">
        <v>43229</v>
      </c>
      <c r="M293" t="s">
        <v>206</v>
      </c>
      <c r="N293" t="s">
        <v>850</v>
      </c>
      <c r="O293" t="s">
        <v>117</v>
      </c>
      <c r="P293" t="s">
        <v>35</v>
      </c>
      <c r="Q293" t="s">
        <v>136</v>
      </c>
      <c r="R293">
        <v>86.97</v>
      </c>
      <c r="S293">
        <v>3</v>
      </c>
      <c r="T293" s="11">
        <f t="shared" si="12"/>
        <v>0</v>
      </c>
      <c r="U293" s="6">
        <v>78.272999999999982</v>
      </c>
      <c r="V293" s="11">
        <f t="shared" si="13"/>
        <v>0</v>
      </c>
      <c r="W293" s="9">
        <f t="shared" si="14"/>
        <v>0.8999999999999998</v>
      </c>
    </row>
    <row r="294" spans="1:23" hidden="1">
      <c r="A294">
        <v>294</v>
      </c>
      <c r="B294" t="s">
        <v>851</v>
      </c>
      <c r="C294" s="5">
        <v>41999</v>
      </c>
      <c r="D294" s="5">
        <v>42001</v>
      </c>
      <c r="E294" t="s">
        <v>231</v>
      </c>
      <c r="F294" t="s">
        <v>852</v>
      </c>
      <c r="G294" t="s">
        <v>853</v>
      </c>
      <c r="H294" t="s">
        <v>125</v>
      </c>
      <c r="I294" t="s">
        <v>113</v>
      </c>
      <c r="J294" t="s">
        <v>45</v>
      </c>
      <c r="K294" t="s">
        <v>419</v>
      </c>
      <c r="L294">
        <v>80906</v>
      </c>
      <c r="M294" t="s">
        <v>127</v>
      </c>
      <c r="N294" t="s">
        <v>854</v>
      </c>
      <c r="O294" t="s">
        <v>117</v>
      </c>
      <c r="P294" t="s">
        <v>138</v>
      </c>
      <c r="Q294" t="s">
        <v>139</v>
      </c>
      <c r="R294">
        <v>300.416</v>
      </c>
      <c r="S294">
        <v>8</v>
      </c>
      <c r="T294" s="11">
        <f t="shared" si="12"/>
        <v>0.05</v>
      </c>
      <c r="U294" s="6">
        <v>720.99839999999995</v>
      </c>
      <c r="V294" s="11">
        <f t="shared" si="13"/>
        <v>15.020800000000001</v>
      </c>
      <c r="W294" s="9">
        <f t="shared" si="14"/>
        <v>2.4</v>
      </c>
    </row>
    <row r="295" spans="1:23" hidden="1">
      <c r="A295">
        <v>295</v>
      </c>
      <c r="B295" t="s">
        <v>851</v>
      </c>
      <c r="C295" s="5">
        <v>41999</v>
      </c>
      <c r="D295" s="5">
        <v>42001</v>
      </c>
      <c r="E295" t="s">
        <v>231</v>
      </c>
      <c r="F295" t="s">
        <v>852</v>
      </c>
      <c r="G295" t="s">
        <v>853</v>
      </c>
      <c r="H295" t="s">
        <v>125</v>
      </c>
      <c r="I295" t="s">
        <v>113</v>
      </c>
      <c r="J295" t="s">
        <v>45</v>
      </c>
      <c r="K295" t="s">
        <v>419</v>
      </c>
      <c r="L295">
        <v>80906</v>
      </c>
      <c r="M295" t="s">
        <v>127</v>
      </c>
      <c r="N295" t="s">
        <v>855</v>
      </c>
      <c r="O295" t="s">
        <v>117</v>
      </c>
      <c r="P295" t="s">
        <v>144</v>
      </c>
      <c r="Q295" t="s">
        <v>145</v>
      </c>
      <c r="R295">
        <v>230.352</v>
      </c>
      <c r="S295">
        <v>3</v>
      </c>
      <c r="T295" s="11">
        <f t="shared" si="12"/>
        <v>0</v>
      </c>
      <c r="U295" s="6">
        <v>207.3168</v>
      </c>
      <c r="V295" s="11">
        <f t="shared" si="13"/>
        <v>0</v>
      </c>
      <c r="W295" s="9">
        <f t="shared" si="14"/>
        <v>0.9</v>
      </c>
    </row>
    <row r="296" spans="1:23" hidden="1">
      <c r="A296">
        <v>296</v>
      </c>
      <c r="B296" t="s">
        <v>851</v>
      </c>
      <c r="C296" s="5">
        <v>41999</v>
      </c>
      <c r="D296" s="5">
        <v>42001</v>
      </c>
      <c r="E296" t="s">
        <v>231</v>
      </c>
      <c r="F296" t="s">
        <v>852</v>
      </c>
      <c r="G296" t="s">
        <v>853</v>
      </c>
      <c r="H296" t="s">
        <v>125</v>
      </c>
      <c r="I296" t="s">
        <v>113</v>
      </c>
      <c r="J296" t="s">
        <v>45</v>
      </c>
      <c r="K296" t="s">
        <v>419</v>
      </c>
      <c r="L296">
        <v>80906</v>
      </c>
      <c r="M296" t="s">
        <v>127</v>
      </c>
      <c r="N296" t="s">
        <v>856</v>
      </c>
      <c r="O296" t="s">
        <v>117</v>
      </c>
      <c r="P296" t="s">
        <v>35</v>
      </c>
      <c r="Q296" t="s">
        <v>147</v>
      </c>
      <c r="R296">
        <v>218.352</v>
      </c>
      <c r="S296">
        <v>3</v>
      </c>
      <c r="T296" s="11">
        <f t="shared" si="12"/>
        <v>0</v>
      </c>
      <c r="U296" s="6">
        <v>196.51680000000002</v>
      </c>
      <c r="V296" s="11">
        <f t="shared" si="13"/>
        <v>0</v>
      </c>
      <c r="W296" s="9">
        <f t="shared" si="14"/>
        <v>0.9</v>
      </c>
    </row>
    <row r="297" spans="1:23" hidden="1">
      <c r="A297">
        <v>297</v>
      </c>
      <c r="B297" t="s">
        <v>851</v>
      </c>
      <c r="C297" s="5">
        <v>41999</v>
      </c>
      <c r="D297" s="5">
        <v>42001</v>
      </c>
      <c r="E297" t="s">
        <v>231</v>
      </c>
      <c r="F297" t="s">
        <v>852</v>
      </c>
      <c r="G297" t="s">
        <v>853</v>
      </c>
      <c r="H297" t="s">
        <v>125</v>
      </c>
      <c r="I297" t="s">
        <v>113</v>
      </c>
      <c r="J297" t="s">
        <v>45</v>
      </c>
      <c r="K297" t="s">
        <v>419</v>
      </c>
      <c r="L297">
        <v>80906</v>
      </c>
      <c r="M297" t="s">
        <v>127</v>
      </c>
      <c r="N297" t="s">
        <v>857</v>
      </c>
      <c r="O297" t="s">
        <v>117</v>
      </c>
      <c r="P297" t="s">
        <v>35</v>
      </c>
      <c r="Q297" t="s">
        <v>149</v>
      </c>
      <c r="R297">
        <v>78.600000000000009</v>
      </c>
      <c r="S297">
        <v>5</v>
      </c>
      <c r="T297" s="11">
        <f t="shared" si="12"/>
        <v>0.05</v>
      </c>
      <c r="U297" s="6">
        <v>117.9</v>
      </c>
      <c r="V297" s="11">
        <f t="shared" si="13"/>
        <v>3.9300000000000006</v>
      </c>
      <c r="W297" s="9">
        <f t="shared" si="14"/>
        <v>1.5</v>
      </c>
    </row>
    <row r="298" spans="1:23" hidden="1">
      <c r="A298">
        <v>298</v>
      </c>
      <c r="B298" t="s">
        <v>851</v>
      </c>
      <c r="C298" s="5">
        <v>41999</v>
      </c>
      <c r="D298" s="5">
        <v>42001</v>
      </c>
      <c r="E298" t="s">
        <v>231</v>
      </c>
      <c r="F298" t="s">
        <v>852</v>
      </c>
      <c r="G298" t="s">
        <v>853</v>
      </c>
      <c r="H298" t="s">
        <v>125</v>
      </c>
      <c r="I298" t="s">
        <v>113</v>
      </c>
      <c r="J298" t="s">
        <v>45</v>
      </c>
      <c r="K298" t="s">
        <v>419</v>
      </c>
      <c r="L298">
        <v>80906</v>
      </c>
      <c r="M298" t="s">
        <v>127</v>
      </c>
      <c r="N298" t="s">
        <v>858</v>
      </c>
      <c r="O298" t="s">
        <v>117</v>
      </c>
      <c r="P298" t="s">
        <v>129</v>
      </c>
      <c r="Q298" t="s">
        <v>151</v>
      </c>
      <c r="R298">
        <v>27.552</v>
      </c>
      <c r="S298">
        <v>3</v>
      </c>
      <c r="T298" s="11">
        <f t="shared" si="12"/>
        <v>0</v>
      </c>
      <c r="U298" s="6">
        <v>24.796800000000001</v>
      </c>
      <c r="V298" s="11">
        <f t="shared" si="13"/>
        <v>0</v>
      </c>
      <c r="W298" s="9">
        <f t="shared" si="14"/>
        <v>0.9</v>
      </c>
    </row>
    <row r="299" spans="1:23" hidden="1">
      <c r="A299">
        <v>299</v>
      </c>
      <c r="B299" t="s">
        <v>859</v>
      </c>
      <c r="C299" s="5">
        <v>42671</v>
      </c>
      <c r="D299" s="5">
        <v>42677</v>
      </c>
      <c r="E299" t="s">
        <v>132</v>
      </c>
      <c r="F299" t="s">
        <v>502</v>
      </c>
      <c r="G299" t="s">
        <v>503</v>
      </c>
      <c r="H299" t="s">
        <v>125</v>
      </c>
      <c r="I299" t="s">
        <v>113</v>
      </c>
      <c r="J299" t="s">
        <v>860</v>
      </c>
      <c r="K299" t="s">
        <v>650</v>
      </c>
      <c r="L299">
        <v>7109</v>
      </c>
      <c r="M299" t="s">
        <v>206</v>
      </c>
      <c r="N299" t="s">
        <v>861</v>
      </c>
      <c r="O299" t="s">
        <v>117</v>
      </c>
      <c r="P299" t="s">
        <v>153</v>
      </c>
      <c r="Q299" t="s">
        <v>154</v>
      </c>
      <c r="R299">
        <v>32.400000000000013</v>
      </c>
      <c r="S299">
        <v>5</v>
      </c>
      <c r="T299" s="11">
        <f t="shared" si="12"/>
        <v>0.05</v>
      </c>
      <c r="U299" s="6">
        <v>48.600000000000016</v>
      </c>
      <c r="V299" s="11">
        <f t="shared" si="13"/>
        <v>1.6200000000000008</v>
      </c>
      <c r="W299" s="9">
        <f t="shared" si="14"/>
        <v>1.5</v>
      </c>
    </row>
    <row r="300" spans="1:23" hidden="1">
      <c r="O300" t="s">
        <v>117</v>
      </c>
      <c r="P300" t="s">
        <v>144</v>
      </c>
      <c r="Q300" t="s">
        <v>156</v>
      </c>
      <c r="R300"/>
      <c r="T300" s="11">
        <f t="shared" si="12"/>
        <v>0</v>
      </c>
      <c r="U300"/>
      <c r="V300" s="11">
        <f t="shared" si="13"/>
        <v>0</v>
      </c>
      <c r="W300" s="9" t="e">
        <f t="shared" si="14"/>
        <v>#DIV/0!</v>
      </c>
    </row>
    <row r="301" spans="1:23" hidden="1">
      <c r="O301" t="s">
        <v>117</v>
      </c>
      <c r="P301" t="s">
        <v>158</v>
      </c>
      <c r="Q301" t="s">
        <v>159</v>
      </c>
      <c r="R301"/>
      <c r="T301" s="11">
        <f t="shared" si="12"/>
        <v>0</v>
      </c>
      <c r="U301"/>
      <c r="V301" s="11">
        <f t="shared" si="13"/>
        <v>0</v>
      </c>
      <c r="W301" s="9" t="e">
        <f t="shared" si="14"/>
        <v>#DIV/0!</v>
      </c>
    </row>
    <row r="302" spans="1:23" hidden="1">
      <c r="O302" t="s">
        <v>117</v>
      </c>
      <c r="P302" t="s">
        <v>35</v>
      </c>
      <c r="Q302" t="s">
        <v>118</v>
      </c>
      <c r="R302"/>
      <c r="T302" s="11">
        <f t="shared" si="12"/>
        <v>0</v>
      </c>
      <c r="U302"/>
      <c r="V302" s="11">
        <f t="shared" si="13"/>
        <v>0</v>
      </c>
      <c r="W302" s="9" t="e">
        <f t="shared" si="14"/>
        <v>#DIV/0!</v>
      </c>
    </row>
    <row r="303" spans="1:23" hidden="1">
      <c r="O303" t="s">
        <v>117</v>
      </c>
      <c r="P303" t="s">
        <v>120</v>
      </c>
      <c r="Q303" t="s">
        <v>121</v>
      </c>
      <c r="R303"/>
      <c r="T303" s="11">
        <f t="shared" si="12"/>
        <v>0</v>
      </c>
      <c r="U303"/>
      <c r="V303" s="11">
        <f t="shared" si="13"/>
        <v>0</v>
      </c>
      <c r="W303" s="9" t="e">
        <f t="shared" si="14"/>
        <v>#DIV/0!</v>
      </c>
    </row>
    <row r="304" spans="1:23" hidden="1">
      <c r="O304" t="s">
        <v>117</v>
      </c>
      <c r="P304" t="s">
        <v>129</v>
      </c>
      <c r="Q304" t="s">
        <v>130</v>
      </c>
      <c r="R304"/>
      <c r="T304" s="11">
        <f t="shared" si="12"/>
        <v>0</v>
      </c>
      <c r="U304"/>
      <c r="V304" s="11">
        <f t="shared" si="13"/>
        <v>0</v>
      </c>
      <c r="W304" s="9" t="e">
        <f t="shared" si="14"/>
        <v>#DIV/0!</v>
      </c>
    </row>
    <row r="305" spans="1:25" hidden="1">
      <c r="O305" t="s">
        <v>117</v>
      </c>
      <c r="P305" t="s">
        <v>35</v>
      </c>
      <c r="Q305" t="s">
        <v>136</v>
      </c>
      <c r="R305"/>
      <c r="T305" s="11">
        <f t="shared" si="12"/>
        <v>0</v>
      </c>
      <c r="U305"/>
      <c r="V305" s="11">
        <f t="shared" si="13"/>
        <v>0</v>
      </c>
      <c r="W305" s="9" t="e">
        <f t="shared" si="14"/>
        <v>#DIV/0!</v>
      </c>
    </row>
    <row r="306" spans="1:25" hidden="1">
      <c r="O306" t="s">
        <v>117</v>
      </c>
      <c r="P306" t="s">
        <v>138</v>
      </c>
      <c r="Q306" t="s">
        <v>139</v>
      </c>
      <c r="R306"/>
      <c r="T306" s="11">
        <f t="shared" si="12"/>
        <v>0</v>
      </c>
      <c r="U306"/>
      <c r="V306" s="11">
        <f t="shared" si="13"/>
        <v>0</v>
      </c>
      <c r="W306" s="9" t="e">
        <f t="shared" si="14"/>
        <v>#DIV/0!</v>
      </c>
    </row>
    <row r="307" spans="1:25">
      <c r="A307" t="s">
        <v>862</v>
      </c>
      <c r="R307">
        <f>SUBTOTAL(109,Table1[Sales])</f>
        <v>1933.61</v>
      </c>
      <c r="S307">
        <f>SUBTOTAL(109,Table1[Quantity])</f>
        <v>73</v>
      </c>
      <c r="T307"/>
      <c r="U307"/>
      <c r="W307"/>
    </row>
    <row r="309" spans="1:25">
      <c r="X309" t="s">
        <v>863</v>
      </c>
    </row>
    <row r="310" spans="1:25">
      <c r="X310" t="s">
        <v>864</v>
      </c>
      <c r="Y310" t="s">
        <v>865</v>
      </c>
    </row>
    <row r="311" spans="1:25">
      <c r="X311">
        <v>5</v>
      </c>
      <c r="Y311" s="11">
        <v>0.05</v>
      </c>
    </row>
    <row r="312" spans="1:25">
      <c r="X312">
        <v>10</v>
      </c>
      <c r="Y312" s="11">
        <v>7.4999999999999997E-2</v>
      </c>
    </row>
    <row r="313" spans="1:25">
      <c r="X313">
        <v>20</v>
      </c>
      <c r="Y313" s="11">
        <v>0.1</v>
      </c>
    </row>
    <row r="315" spans="1:25">
      <c r="Y315" s="15" t="s">
        <v>866</v>
      </c>
    </row>
    <row r="333" spans="1:2">
      <c r="A333" s="15" t="s">
        <v>63</v>
      </c>
      <c r="B333" s="1" t="s">
        <v>867</v>
      </c>
    </row>
  </sheetData>
  <pageMargins left="0.7" right="0.7" top="0.75" bottom="0.75" header="0.3" footer="0.3"/>
  <pageSetup orientation="portrait" horizontalDpi="4294967293"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Kaarin Dolliver</dc:creator>
  <cp:keywords/>
  <dc:description/>
  <cp:lastModifiedBy/>
  <cp:revision/>
  <dcterms:created xsi:type="dcterms:W3CDTF">1999-08-10T16:59:59Z</dcterms:created>
  <dcterms:modified xsi:type="dcterms:W3CDTF">2026-05-02T03:12:57Z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0x01010064AB53A94A704F4A8194D0C05AA48798</vt:lpwstr>
  </property>
</Properties>
</file>